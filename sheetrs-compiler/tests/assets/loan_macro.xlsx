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  <sheet name="sett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<sst xmlns="http://schemas.openxmlformats.org/spreadsheetml/2006/main" count="49" uniqueCount="39">
  <si>
    <t xml:space="preserve">Principal</t>
  </si>
  <si>
    <t xml:space="preserve">Annual rate</t>
  </si>
  <si>
    <t xml:space="preserve">Years</t>
  </si>
  <si>
    <t xml:space="preserve">Monthly payment</t>
  </si>
  <si>
    <t xml:space="preserve">Total paid</t>
  </si>
  <si>
    <t xml:space="preserve">Total interest</t>
  </si>
  <si>
    <t xml:space="preserve">Month to inspect</t>
  </si>
  <si>
    <t xml:space="preserve">Balance at that month</t>
  </si>
  <si>
    <t xml:space="preserve">Schedule</t>
  </si>
  <si>
    <t xml:space="preserve">Payment</t>
  </si>
  <si>
    <t xml:space="preserve">Interest</t>
  </si>
  <si>
    <t xml:space="preserve">Balance</t>
  </si>
  <si>
    <t xml:space="preserve">Unused note</t>
  </si>
  <si>
    <t xml:space="preserve">key</t>
  </si>
  <si>
    <t xml:space="preserve">value</t>
  </si>
  <si>
    <t xml:space="preserve">description</t>
  </si>
  <si>
    <t xml:space="preserve">meta_type</t>
  </si>
  <si>
    <t xml:space="preserve">principal</t>
  </si>
  <si>
    <t xml:space="preserve">Loan!B1</t>
  </si>
  <si>
    <t xml:space="preserve">Loan amount</t>
  </si>
  <si>
    <t xml:space="preserve">input</t>
  </si>
  <si>
    <t xml:space="preserve">rate</t>
  </si>
  <si>
    <t xml:space="preserve">Loan!B2</t>
  </si>
  <si>
    <t xml:space="preserve">years</t>
  </si>
  <si>
    <t xml:space="preserve">Loan!B3</t>
  </si>
  <si>
    <t xml:space="preserve">Term in years</t>
  </si>
  <si>
    <t xml:space="preserve">month</t>
  </si>
  <si>
    <t xml:space="preserve">Loan!B7</t>
  </si>
  <si>
    <t xml:space="preserve">payment</t>
  </si>
  <si>
    <t xml:space="preserve">Loan!B4</t>
  </si>
  <si>
    <t xml:space="preserve">output</t>
  </si>
  <si>
    <t xml:space="preserve">interest</t>
  </si>
  <si>
    <t xml:space="preserve">Loan!B6</t>
  </si>
  <si>
    <t xml:space="preserve">balance</t>
  </si>
  <si>
    <t xml:space="preserve">Loan!B8</t>
  </si>
  <si>
    <t xml:space="preserve">version</t>
  </si>
  <si>
    <t xml:space="preserve">1.0</t>
  </si>
  <si>
    <t xml:space="preserve">Model version</t>
  </si>
  <si>
    <t xml:space="preserve">info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</si>
</sst>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200000</v>
      </c>
    </row>
    <row r="2" customFormat="false" ht="15" hidden="false" customHeight="false" outlineLevel="0" collapsed="false">
      <c r="A2" s="0" t="s">
        <v>1</v>
      </c>
      <c r="B2" s="0" t="n">
        <v>0.05</v>
      </c>
    </row>
    <row r="3" customFormat="false" ht="15" hidden="false" customHeight="false" outlineLevel="0" collapsed="false">
      <c r="A3" s="0" t="s">
        <v>2</v>
      </c>
      <c r="B3" s="0" t="n">
        <v>30</v>
      </c>
    </row>
    <row r="4" customFormat="false" ht="15" hidden="false" customHeight="false" outlineLevel="0" collapsed="false">
      <c r="A4" s="0" t="s">
        <v>3</v>
      </c>
      <c r="B4" s="1" t="n">
        <f aca="false">PMT(B2/12,B3*12,-B1)</f>
        <v>1073.64324602428</v>
      </c>
    </row>
    <row r="5" customFormat="false" ht="15" hidden="false" customHeight="false" outlineLevel="0" collapsed="false">
      <c r="A5" s="0" t="s">
        <v>4</v>
      </c>
      <c r="B5" s="1" t="n">
        <f aca="false">B4*B3*12</f>
        <v>386511.56856874</v>
      </c>
    </row>
    <row r="6" customFormat="false" ht="15" hidden="false" customHeight="false" outlineLevel="0" collapsed="false">
      <c r="A6" s="0" t="s">
        <v>5</v>
      </c>
      <c r="B6" s="1" t="n">
        <f aca="false">B5-B1</f>
        <v>186511.56856874</v>
      </c>
    </row>
    <row r="7" customFormat="false" ht="15" hidden="false" customHeight="false" outlineLevel="0" collapsed="false">
      <c r="A7" s="0" t="s">
        <v>6</v>
      </c>
      <c r="B7" s="0" t="n">
        <v>12</v>
      </c>
    </row>
    <row r="8" customFormat="false" ht="15" hidden="false" customHeight="false" outlineLevel="0" collapsed="false">
      <c r="A8" s="0" t="s">
        <v>7</v>
      </c>
      <c r="B8" s="1" t="n">
        <f aca="true">INDIRECT("D"&amp;(10+B7))</f>
        <v>197049.269308865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</row>
    <row r="10" customFormat="false" ht="15" hidden="false" customHeight="false" outlineLevel="0" collapsed="false">
      <c r="A10" s="0" t="n">
        <v>0</v>
      </c>
      <c r="D10" s="0" t="n">
        <f aca="false">B1</f>
        <v>200000</v>
      </c>
    </row>
    <row r="11" customFormat="false" ht="15" hidden="false" customHeight="false" outlineLevel="0" collapsed="false">
      <c r="A11" s="0" t="n">
        <v>1</v>
      </c>
      <c r="B11" s="1" t="n">
        <f aca="false">$B$4</f>
        <v>1073.64324602428</v>
      </c>
      <c r="C11" s="0" t="n">
        <f aca="false">D10*$B$2/12</f>
        <v>833.333333333333</v>
      </c>
      <c r="D11" s="1" t="n">
        <f aca="false">D10+C11-B11</f>
        <v>199759.690087309</v>
      </c>
    </row>
    <row r="12" customFormat="false" ht="15" hidden="false" customHeight="false" outlineLevel="0" collapsed="false">
      <c r="A12" s="0" t="n">
        <v>2</v>
      </c>
      <c r="B12" s="1" t="n">
        <f aca="false">$B$4</f>
        <v>1073.64324602428</v>
      </c>
      <c r="C12" s="1" t="n">
        <f aca="false">D11*$B$2/12</f>
        <v>832.332042030455</v>
      </c>
      <c r="D12" s="1" t="n">
        <f aca="false">D11+C12-B12</f>
        <v>199518.378883315</v>
      </c>
    </row>
    <row r="13" customFormat="false" ht="15" hidden="false" customHeight="false" outlineLevel="0" collapsed="false">
      <c r="A13" s="0" t="n">
        <v>3</v>
      </c>
      <c r="B13" s="1" t="n">
        <f aca="false">$B$4</f>
        <v>1073.64324602428</v>
      </c>
      <c r="C13" s="1" t="n">
        <f aca="false">D12*$B$2/12</f>
        <v>831.326578680481</v>
      </c>
      <c r="D13" s="1" t="n">
        <f aca="false">D12+C13-B13</f>
        <v>199276.062215972</v>
      </c>
    </row>
    <row r="14" customFormat="false" ht="15" hidden="false" customHeight="false" outlineLevel="0" collapsed="false">
      <c r="A14" s="0" t="n">
        <v>4</v>
      </c>
      <c r="B14" s="1" t="n">
        <f aca="false">$B$4</f>
        <v>1073.64324602428</v>
      </c>
      <c r="C14" s="1" t="n">
        <f aca="false">D13*$B$2/12</f>
        <v>830.316925899881</v>
      </c>
      <c r="D14" s="1" t="n">
        <f aca="false">D13+C14-B14</f>
        <v>199032.735895847</v>
      </c>
    </row>
    <row r="15" customFormat="false" ht="15" hidden="false" customHeight="false" outlineLevel="0" collapsed="false">
      <c r="A15" s="0" t="n">
        <v>5</v>
      </c>
      <c r="B15" s="1" t="n">
        <f aca="false">$B$4</f>
        <v>1073.64324602428</v>
      </c>
      <c r="C15" s="1" t="n">
        <f aca="false">D14*$B$2/12</f>
        <v>829.303066232696</v>
      </c>
      <c r="D15" s="1" t="n">
        <f aca="false">D14+C15-B15</f>
        <v>198788.395716056</v>
      </c>
    </row>
    <row r="16" customFormat="false" ht="15" hidden="false" customHeight="false" outlineLevel="0" collapsed="false">
      <c r="A16" s="0" t="n">
        <v>6</v>
      </c>
      <c r="B16" s="1" t="n">
        <f aca="false">$B$4</f>
        <v>1073.64324602428</v>
      </c>
      <c r="C16" s="1" t="n">
        <f aca="false">D15*$B$2/12</f>
        <v>828.284982150232</v>
      </c>
      <c r="D16" s="1" t="n">
        <f aca="false">D15+C16-B16</f>
        <v>198543.037452182</v>
      </c>
    </row>
    <row r="17" customFormat="false" ht="15" hidden="false" customHeight="false" outlineLevel="0" collapsed="false">
      <c r="A17" s="0" t="n">
        <v>7</v>
      </c>
      <c r="B17" s="1" t="n">
        <f aca="false">$B$4</f>
        <v>1073.64324602428</v>
      </c>
      <c r="C17" s="1" t="n">
        <f aca="false">D16*$B$2/12</f>
        <v>827.262656050757</v>
      </c>
      <c r="D17" s="1" t="n">
        <f aca="false">D16+C17-B17</f>
        <v>198296.656862208</v>
      </c>
    </row>
    <row r="18" customFormat="false" ht="15" hidden="false" customHeight="false" outlineLevel="0" collapsed="false">
      <c r="A18" s="0" t="n">
        <v>8</v>
      </c>
      <c r="B18" s="1" t="n">
        <f aca="false">$B$4</f>
        <v>1073.64324602428</v>
      </c>
      <c r="C18" s="1" t="n">
        <f aca="false">D17*$B$2/12</f>
        <v>826.2360702592</v>
      </c>
      <c r="D18" s="1" t="n">
        <f aca="false">D17+C18-B18</f>
        <v>198049.249686443</v>
      </c>
    </row>
    <row r="19" customFormat="false" ht="15" hidden="false" customHeight="false" outlineLevel="0" collapsed="false">
      <c r="A19" s="0" t="n">
        <v>9</v>
      </c>
      <c r="B19" s="1" t="n">
        <f aca="false">$B$4</f>
        <v>1073.64324602428</v>
      </c>
      <c r="C19" s="1" t="n">
        <f aca="false">D18*$B$2/12</f>
        <v>825.205207026846</v>
      </c>
      <c r="D19" s="1" t="n">
        <f aca="false">D18+C19-B19</f>
        <v>197800.811647446</v>
      </c>
    </row>
    <row r="20" customFormat="false" ht="15" hidden="false" customHeight="false" outlineLevel="0" collapsed="false">
      <c r="A20" s="0" t="n">
        <v>10</v>
      </c>
      <c r="B20" s="1" t="n">
        <f aca="false">$B$4</f>
        <v>1073.64324602428</v>
      </c>
      <c r="C20" s="1" t="n">
        <f aca="false">D19*$B$2/12</f>
        <v>824.170048531023</v>
      </c>
      <c r="D20" s="1" t="n">
        <f aca="false">D19+C20-B20</f>
        <v>197551.338449952</v>
      </c>
    </row>
    <row r="21" customFormat="false" ht="15" hidden="false" customHeight="false" outlineLevel="0" collapsed="false">
      <c r="A21" s="0" t="n">
        <v>11</v>
      </c>
      <c r="B21" s="1" t="n">
        <f aca="false">$B$4</f>
        <v>1073.64324602428</v>
      </c>
      <c r="C21" s="1" t="n">
        <f aca="false">D20*$B$2/12</f>
        <v>823.130576874802</v>
      </c>
      <c r="D21" s="1" t="n">
        <f aca="false">D20+C21-B21</f>
        <v>197300.825780803</v>
      </c>
    </row>
    <row r="22" customFormat="false" ht="15" hidden="false" customHeight="false" outlineLevel="0" collapsed="false">
      <c r="A22" s="0" t="n">
        <v>12</v>
      </c>
      <c r="B22" s="1" t="n">
        <f aca="false">$B$4</f>
        <v>1073.64324602428</v>
      </c>
      <c r="C22" s="1" t="n">
        <f aca="false">D21*$B$2/12</f>
        <v>822.086774086679</v>
      </c>
      <c r="D22" s="1" t="n">
        <f aca="false">D21+C22-B22</f>
        <v>197049.269308865</v>
      </c>
    </row>
    <row r="23" customFormat="false" ht="15" hidden="false" customHeight="false" outlineLevel="0" collapsed="false">
      <c r="A23" s="0" t="n">
        <v>13</v>
      </c>
      <c r="B23" s="1" t="n">
        <f aca="false">$B$4</f>
        <v>1073.64324602428</v>
      </c>
      <c r="C23" s="1" t="n">
        <f aca="false">D22*$B$2/12</f>
        <v>821.038622120272</v>
      </c>
      <c r="D23" s="1" t="n">
        <f aca="false">D22+C23-B23</f>
        <v>196796.664684961</v>
      </c>
    </row>
    <row r="24" customFormat="false" ht="15" hidden="false" customHeight="false" outlineLevel="0" collapsed="false">
      <c r="A24" s="0" t="n">
        <v>14</v>
      </c>
      <c r="B24" s="1" t="n">
        <f aca="false">$B$4</f>
        <v>1073.64324602428</v>
      </c>
      <c r="C24" s="1" t="n">
        <f aca="false">D23*$B$2/12</f>
        <v>819.986102854005</v>
      </c>
      <c r="D24" s="1" t="n">
        <f aca="false">D23+C24-B24</f>
        <v>196543.007541791</v>
      </c>
    </row>
    <row r="25" customFormat="false" ht="15" hidden="false" customHeight="false" outlineLevel="0" collapsed="false">
      <c r="A25" s="0" t="n">
        <v>15</v>
      </c>
      <c r="B25" s="1" t="n">
        <f aca="false">$B$4</f>
        <v>1073.64324602428</v>
      </c>
      <c r="C25" s="1" t="n">
        <f aca="false">D24*$B$2/12</f>
        <v>818.929198090796</v>
      </c>
      <c r="D25" s="1" t="n">
        <f aca="false">D24+C25-B25</f>
        <v>196288.293493858</v>
      </c>
    </row>
    <row r="26" customFormat="false" ht="15" hidden="false" customHeight="false" outlineLevel="0" collapsed="false">
      <c r="A26" s="0" t="n">
        <v>16</v>
      </c>
      <c r="B26" s="1" t="n">
        <f aca="false">$B$4</f>
        <v>1073.64324602428</v>
      </c>
      <c r="C26" s="1" t="n">
        <f aca="false">D25*$B$2/12</f>
        <v>817.86788955774</v>
      </c>
      <c r="D26" s="1" t="n">
        <f aca="false">D25+C26-B26</f>
        <v>196032.518137391</v>
      </c>
    </row>
    <row r="27" customFormat="false" ht="15" hidden="false" customHeight="false" outlineLevel="0" collapsed="false">
      <c r="A27" s="0" t="n">
        <v>17</v>
      </c>
      <c r="B27" s="1" t="n">
        <f aca="false">$B$4</f>
        <v>1073.64324602428</v>
      </c>
      <c r="C27" s="1" t="n">
        <f aca="false">D26*$B$2/12</f>
        <v>816.802158905796</v>
      </c>
      <c r="D27" s="1" t="n">
        <f aca="false">D26+C27-B27</f>
        <v>195775.677050273</v>
      </c>
    </row>
    <row r="28" customFormat="false" ht="15" hidden="false" customHeight="false" outlineLevel="0" collapsed="false">
      <c r="A28" s="0" t="n">
        <v>18</v>
      </c>
      <c r="B28" s="1" t="n">
        <f aca="false">$B$4</f>
        <v>1073.64324602428</v>
      </c>
      <c r="C28" s="1" t="n">
        <f aca="false">D27*$B$2/12</f>
        <v>815.731987709469</v>
      </c>
      <c r="D28" s="1" t="n">
        <f aca="false">D27+C28-B28</f>
        <v>195517.765791958</v>
      </c>
    </row>
    <row r="29" customFormat="false" ht="15" hidden="false" customHeight="false" outlineLevel="0" collapsed="false">
      <c r="A29" s="0" t="n">
        <v>19</v>
      </c>
      <c r="B29" s="1" t="n">
        <f aca="false">$B$4</f>
        <v>1073.64324602428</v>
      </c>
      <c r="C29" s="1" t="n">
        <f aca="false">D28*$B$2/12</f>
        <v>814.657357466491</v>
      </c>
      <c r="D29" s="1" t="n">
        <f aca="false">D28+C29-B29</f>
        <v>195258.7799034</v>
      </c>
    </row>
    <row r="30" customFormat="false" ht="15" hidden="false" customHeight="false" outlineLevel="0" collapsed="false">
      <c r="A30" s="0" t="n">
        <v>20</v>
      </c>
      <c r="B30" s="1" t="n">
        <f aca="false">$B$4</f>
        <v>1073.64324602428</v>
      </c>
      <c r="C30" s="1" t="n">
        <f aca="false">D29*$B$2/12</f>
        <v>813.5782495975</v>
      </c>
      <c r="D30" s="1" t="n">
        <f aca="false">D29+C30-B30</f>
        <v>194998.714906973</v>
      </c>
    </row>
    <row r="31" customFormat="false" ht="15" hidden="false" customHeight="false" outlineLevel="0" collapsed="false">
      <c r="A31" s="0" t="n">
        <v>21</v>
      </c>
      <c r="B31" s="1" t="n">
        <f aca="false">$B$4</f>
        <v>1073.64324602428</v>
      </c>
      <c r="C31" s="1" t="n">
        <f aca="false">D30*$B$2/12</f>
        <v>812.494645445722</v>
      </c>
      <c r="D31" s="1" t="n">
        <f aca="false">D30+C31-B31</f>
        <v>194737.566306395</v>
      </c>
    </row>
    <row r="32" customFormat="false" ht="15" hidden="false" customHeight="false" outlineLevel="0" collapsed="false">
      <c r="A32" s="0" t="n">
        <v>22</v>
      </c>
      <c r="B32" s="1" t="n">
        <f aca="false">$B$4</f>
        <v>1073.64324602428</v>
      </c>
      <c r="C32" s="1" t="n">
        <f aca="false">D31*$B$2/12</f>
        <v>811.406526276645</v>
      </c>
      <c r="D32" s="1" t="n">
        <f aca="false">D31+C32-B32</f>
        <v>194475.329586647</v>
      </c>
    </row>
    <row r="33" customFormat="false" ht="15" hidden="false" customHeight="false" outlineLevel="0" collapsed="false">
      <c r="A33" s="0" t="n">
        <v>23</v>
      </c>
      <c r="B33" s="1" t="n">
        <f aca="false">$B$4</f>
        <v>1073.64324602428</v>
      </c>
      <c r="C33" s="1" t="n">
        <f aca="false">D32*$B$2/12</f>
        <v>810.313873277696</v>
      </c>
      <c r="D33" s="1" t="n">
        <f aca="false">D32+C33-B33</f>
        <v>194212.000213901</v>
      </c>
    </row>
    <row r="34" customFormat="false" ht="15" hidden="false" customHeight="false" outlineLevel="0" collapsed="false">
      <c r="A34" s="0" t="n">
        <v>24</v>
      </c>
      <c r="B34" s="1" t="n">
        <f aca="false">$B$4</f>
        <v>1073.64324602428</v>
      </c>
      <c r="C34" s="1" t="n">
        <f aca="false">D33*$B$2/12</f>
        <v>809.216667557919</v>
      </c>
      <c r="D34" s="1" t="n">
        <f aca="false">D33+C34-B34</f>
        <v>193947.573635434</v>
      </c>
    </row>
    <row r="35" customFormat="false" ht="15" hidden="false" customHeight="false" outlineLevel="0" collapsed="false">
      <c r="A35" s="0" t="n">
        <v>25</v>
      </c>
      <c r="B35" s="1" t="n">
        <f aca="false">$B$4</f>
        <v>1073.64324602428</v>
      </c>
      <c r="C35" s="1" t="n">
        <f aca="false">D34*$B$2/12</f>
        <v>808.114890147643</v>
      </c>
      <c r="D35" s="1" t="n">
        <f aca="false">D34+C35-B35</f>
        <v>193682.045279558</v>
      </c>
    </row>
    <row r="36" customFormat="false" ht="15" hidden="false" customHeight="false" outlineLevel="0" collapsed="false">
      <c r="A36" s="0" t="n">
        <v>26</v>
      </c>
      <c r="B36" s="1" t="n">
        <f aca="false">$B$4</f>
        <v>1073.64324602428</v>
      </c>
      <c r="C36" s="1" t="n">
        <f aca="false">D35*$B$2/12</f>
        <v>807.008521998157</v>
      </c>
      <c r="D36" s="1" t="n">
        <f aca="false">D35+C36-B36</f>
        <v>193415.410555531</v>
      </c>
    </row>
    <row r="37" customFormat="false" ht="15" hidden="false" customHeight="false" outlineLevel="0" collapsed="false">
      <c r="A37" s="0" t="n">
        <v>27</v>
      </c>
      <c r="B37" s="1" t="n">
        <f aca="false">$B$4</f>
        <v>1073.64324602428</v>
      </c>
      <c r="C37" s="1" t="n">
        <f aca="false">D36*$B$2/12</f>
        <v>805.897543981381</v>
      </c>
      <c r="D37" s="1" t="n">
        <f aca="false">D36+C37-B37</f>
        <v>193147.664853489</v>
      </c>
    </row>
    <row r="38" customFormat="false" ht="15" hidden="false" customHeight="false" outlineLevel="0" collapsed="false">
      <c r="A38" s="0" t="n">
        <v>28</v>
      </c>
      <c r="B38" s="1" t="n">
        <f aca="false">$B$4</f>
        <v>1073.64324602428</v>
      </c>
      <c r="C38" s="1" t="n">
        <f aca="false">D37*$B$2/12</f>
        <v>804.781936889536</v>
      </c>
      <c r="D38" s="1" t="n">
        <f aca="false">D37+C38-B38</f>
        <v>192878.803544354</v>
      </c>
    </row>
    <row r="39" customFormat="false" ht="15" hidden="false" customHeight="false" outlineLevel="0" collapsed="false">
      <c r="A39" s="0" t="n">
        <v>29</v>
      </c>
      <c r="B39" s="1" t="n">
        <f aca="false">$B$4</f>
        <v>1073.64324602428</v>
      </c>
      <c r="C39" s="1" t="n">
        <f aca="false">D38*$B$2/12</f>
        <v>803.661681434808</v>
      </c>
      <c r="D39" s="1" t="n">
        <f aca="false">D38+C39-B39</f>
        <v>192608.821979764</v>
      </c>
    </row>
    <row r="40" customFormat="false" ht="15" hidden="false" customHeight="false" outlineLevel="0" collapsed="false">
      <c r="A40" s="0" t="n">
        <v>30</v>
      </c>
      <c r="B40" s="1" t="n">
        <f aca="false">$B$4</f>
        <v>1073.64324602428</v>
      </c>
      <c r="C40" s="1" t="n">
        <f aca="false">D39*$B$2/12</f>
        <v>802.536758249018</v>
      </c>
      <c r="D40" s="1" t="n">
        <f aca="false">D39+C40-B40</f>
        <v>192337.715491989</v>
      </c>
    </row>
    <row r="41" customFormat="false" ht="15" hidden="false" customHeight="false" outlineLevel="0" collapsed="false">
      <c r="A41" s="0" t="n">
        <v>31</v>
      </c>
      <c r="B41" s="1" t="n">
        <f aca="false">$B$4</f>
        <v>1073.64324602428</v>
      </c>
      <c r="C41" s="1" t="n">
        <f aca="false">D40*$B$2/12</f>
        <v>801.407147883288</v>
      </c>
      <c r="D41" s="1" t="n">
        <f aca="false">D40+C41-B41</f>
        <v>192065.479393848</v>
      </c>
    </row>
    <row r="42" customFormat="false" ht="15" hidden="false" customHeight="false" outlineLevel="0" collapsed="false">
      <c r="A42" s="0" t="n">
        <v>32</v>
      </c>
      <c r="B42" s="1" t="n">
        <f aca="false">$B$4</f>
        <v>1073.64324602428</v>
      </c>
      <c r="C42" s="1" t="n">
        <f aca="false">D41*$B$2/12</f>
        <v>800.272830807701</v>
      </c>
      <c r="D42" s="1" t="n">
        <f aca="false">D41+C42-B42</f>
        <v>191792.108978632</v>
      </c>
    </row>
    <row r="43" customFormat="false" ht="15" hidden="false" customHeight="false" outlineLevel="0" collapsed="false">
      <c r="A43" s="0" t="n">
        <v>33</v>
      </c>
      <c r="B43" s="1" t="n">
        <f aca="false">$B$4</f>
        <v>1073.64324602428</v>
      </c>
      <c r="C43" s="1" t="n">
        <f aca="false">D42*$B$2/12</f>
        <v>799.133787410965</v>
      </c>
      <c r="D43" s="1" t="n">
        <f aca="false">D42+C43-B43</f>
        <v>191517.599520018</v>
      </c>
    </row>
    <row r="44" customFormat="false" ht="15" hidden="false" customHeight="false" outlineLevel="0" collapsed="false">
      <c r="A44" s="0" t="n">
        <v>34</v>
      </c>
      <c r="B44" s="1" t="n">
        <f aca="false">$B$4</f>
        <v>1073.64324602428</v>
      </c>
      <c r="C44" s="1" t="n">
        <f aca="false">D43*$B$2/12</f>
        <v>797.989998000076</v>
      </c>
      <c r="D44" s="1" t="n">
        <f aca="false">D43+C44-B44</f>
        <v>191241.946271994</v>
      </c>
    </row>
    <row r="45" customFormat="false" ht="15" hidden="false" customHeight="false" outlineLevel="0" collapsed="false">
      <c r="A45" s="0" t="n">
        <v>35</v>
      </c>
      <c r="B45" s="1" t="n">
        <f aca="false">$B$4</f>
        <v>1073.64324602428</v>
      </c>
      <c r="C45" s="1" t="n">
        <f aca="false">D44*$B$2/12</f>
        <v>796.841442799975</v>
      </c>
      <c r="D45" s="1" t="n">
        <f aca="false">D44+C45-B45</f>
        <v>190965.14446877</v>
      </c>
    </row>
    <row r="46" customFormat="false" ht="15" hidden="false" customHeight="false" outlineLevel="0" collapsed="false">
      <c r="A46" s="0" t="n">
        <v>36</v>
      </c>
      <c r="B46" s="1" t="n">
        <f aca="false">$B$4</f>
        <v>1073.64324602428</v>
      </c>
      <c r="C46" s="1" t="n">
        <f aca="false">D45*$B$2/12</f>
        <v>795.688101953208</v>
      </c>
      <c r="D46" s="1" t="n">
        <f aca="false">D45+C46-B46</f>
        <v>190687.189324699</v>
      </c>
    </row>
    <row r="47" customFormat="false" ht="15" hidden="false" customHeight="false" outlineLevel="0" collapsed="false">
      <c r="A47" s="0" t="n">
        <v>37</v>
      </c>
      <c r="B47" s="1" t="n">
        <f aca="false">$B$4</f>
        <v>1073.64324602428</v>
      </c>
      <c r="C47" s="1" t="n">
        <f aca="false">D46*$B$2/12</f>
        <v>794.529955519578</v>
      </c>
      <c r="D47" s="1" t="n">
        <f aca="false">D46+C47-B47</f>
        <v>190408.076034194</v>
      </c>
    </row>
    <row r="48" customFormat="false" ht="15" hidden="false" customHeight="false" outlineLevel="0" collapsed="false">
      <c r="A48" s="0" t="n">
        <v>38</v>
      </c>
      <c r="B48" s="1" t="n">
        <f aca="false">$B$4</f>
        <v>1073.64324602428</v>
      </c>
      <c r="C48" s="1" t="n">
        <f aca="false">D47*$B$2/12</f>
        <v>793.366983475809</v>
      </c>
      <c r="D48" s="1" t="n">
        <f aca="false">D47+C48-B48</f>
        <v>190127.799771646</v>
      </c>
    </row>
    <row r="49" customFormat="false" ht="15" hidden="false" customHeight="false" outlineLevel="0" collapsed="false">
      <c r="A49" s="0" t="n">
        <v>39</v>
      </c>
      <c r="B49" s="1" t="n">
        <f aca="false">$B$4</f>
        <v>1073.64324602428</v>
      </c>
      <c r="C49" s="1" t="n">
        <f aca="false">D48*$B$2/12</f>
        <v>792.19916571519</v>
      </c>
      <c r="D49" s="1" t="n">
        <f aca="false">D48+C49-B49</f>
        <v>189846.355691337</v>
      </c>
    </row>
    <row r="50" customFormat="false" ht="15" hidden="false" customHeight="false" outlineLevel="0" collapsed="false">
      <c r="A50" s="0" t="n">
        <v>40</v>
      </c>
      <c r="B50" s="1" t="n">
        <f aca="false">$B$4</f>
        <v>1073.64324602428</v>
      </c>
      <c r="C50" s="1" t="n">
        <f aca="false">D49*$B$2/12</f>
        <v>791.026482047236</v>
      </c>
      <c r="D50" s="1" t="n">
        <f aca="false">D49+C50-B50</f>
        <v>189563.73892736</v>
      </c>
    </row>
    <row r="51" customFormat="false" ht="15" hidden="false" customHeight="false" outlineLevel="0" collapsed="false">
      <c r="A51" s="0" t="n">
        <v>41</v>
      </c>
      <c r="B51" s="1" t="n">
        <f aca="false">$B$4</f>
        <v>1073.64324602428</v>
      </c>
      <c r="C51" s="1" t="n">
        <f aca="false">D50*$B$2/12</f>
        <v>789.848912197331</v>
      </c>
      <c r="D51" s="1" t="n">
        <f aca="false">D50+C51-B51</f>
        <v>189279.944593533</v>
      </c>
    </row>
    <row r="52" customFormat="false" ht="15" hidden="false" customHeight="false" outlineLevel="0" collapsed="false">
      <c r="A52" s="0" t="n">
        <v>42</v>
      </c>
      <c r="B52" s="1" t="n">
        <f aca="false">$B$4</f>
        <v>1073.64324602428</v>
      </c>
      <c r="C52" s="1" t="n">
        <f aca="false">D51*$B$2/12</f>
        <v>788.666435806386</v>
      </c>
      <c r="D52" s="1" t="n">
        <f aca="false">D51+C52-B52</f>
        <v>188994.967783315</v>
      </c>
    </row>
    <row r="53" customFormat="false" ht="15" hidden="false" customHeight="false" outlineLevel="0" collapsed="false">
      <c r="A53" s="0" t="n">
        <v>43</v>
      </c>
      <c r="B53" s="1" t="n">
        <f aca="false">$B$4</f>
        <v>1073.64324602428</v>
      </c>
      <c r="C53" s="1" t="n">
        <f aca="false">D52*$B$2/12</f>
        <v>787.479032430478</v>
      </c>
      <c r="D53" s="1" t="n">
        <f aca="false">D52+C53-B53</f>
        <v>188708.803569721</v>
      </c>
    </row>
    <row r="54" customFormat="false" ht="15" hidden="false" customHeight="false" outlineLevel="0" collapsed="false">
      <c r="A54" s="0" t="n">
        <v>44</v>
      </c>
      <c r="B54" s="1" t="n">
        <f aca="false">$B$4</f>
        <v>1073.64324602428</v>
      </c>
      <c r="C54" s="1" t="n">
        <f aca="false">D53*$B$2/12</f>
        <v>786.286681540504</v>
      </c>
      <c r="D54" s="1" t="n">
        <f aca="false">D53+C54-B54</f>
        <v>188421.447005237</v>
      </c>
    </row>
    <row r="55" customFormat="false" ht="15" hidden="false" customHeight="false" outlineLevel="0" collapsed="false">
      <c r="A55" s="0" t="n">
        <v>45</v>
      </c>
      <c r="B55" s="1" t="n">
        <f aca="false">$B$4</f>
        <v>1073.64324602428</v>
      </c>
      <c r="C55" s="1" t="n">
        <f aca="false">D54*$B$2/12</f>
        <v>785.089362521821</v>
      </c>
      <c r="D55" s="1" t="n">
        <f aca="false">D54+C55-B55</f>
        <v>188132.893121735</v>
      </c>
    </row>
    <row r="56" customFormat="false" ht="15" hidden="false" customHeight="false" outlineLevel="0" collapsed="false">
      <c r="A56" s="0" t="n">
        <v>46</v>
      </c>
      <c r="B56" s="1" t="n">
        <f aca="false">$B$4</f>
        <v>1073.64324602428</v>
      </c>
      <c r="C56" s="1" t="n">
        <f aca="false">D55*$B$2/12</f>
        <v>783.887054673895</v>
      </c>
      <c r="D56" s="1" t="n">
        <f aca="false">D55+C56-B56</f>
        <v>187843.136930384</v>
      </c>
    </row>
    <row r="57" customFormat="false" ht="15" hidden="false" customHeight="false" outlineLevel="0" collapsed="false">
      <c r="A57" s="0" t="n">
        <v>47</v>
      </c>
      <c r="B57" s="1" t="n">
        <f aca="false">$B$4</f>
        <v>1073.64324602428</v>
      </c>
      <c r="C57" s="1" t="n">
        <f aca="false">D56*$B$2/12</f>
        <v>782.679737209935</v>
      </c>
      <c r="D57" s="1" t="n">
        <f aca="false">D56+C57-B57</f>
        <v>187552.17342157</v>
      </c>
    </row>
    <row r="58" customFormat="false" ht="15" hidden="false" customHeight="false" outlineLevel="0" collapsed="false">
      <c r="A58" s="0" t="n">
        <v>48</v>
      </c>
      <c r="B58" s="1" t="n">
        <f aca="false">$B$4</f>
        <v>1073.64324602428</v>
      </c>
      <c r="C58" s="1" t="n">
        <f aca="false">D57*$B$2/12</f>
        <v>781.467389256542</v>
      </c>
      <c r="D58" s="1" t="n">
        <f aca="false">D57+C58-B58</f>
        <v>187259.997564802</v>
      </c>
    </row>
    <row r="59" customFormat="false" ht="15" hidden="false" customHeight="false" outlineLevel="0" collapsed="false">
      <c r="A59" s="0" t="n">
        <v>49</v>
      </c>
      <c r="B59" s="1" t="n">
        <f aca="false">$B$4</f>
        <v>1073.64324602428</v>
      </c>
      <c r="C59" s="1" t="n">
        <f aca="false">D58*$B$2/12</f>
        <v>780.249989853343</v>
      </c>
      <c r="D59" s="1" t="n">
        <f aca="false">D58+C59-B59</f>
        <v>186966.604308631</v>
      </c>
    </row>
    <row r="60" customFormat="false" ht="15" hidden="false" customHeight="false" outlineLevel="0" collapsed="false">
      <c r="A60" s="0" t="n">
        <v>50</v>
      </c>
      <c r="B60" s="1" t="n">
        <f aca="false">$B$4</f>
        <v>1073.64324602428</v>
      </c>
      <c r="C60" s="1" t="n">
        <f aca="false">D59*$B$2/12</f>
        <v>779.027517952631</v>
      </c>
      <c r="D60" s="1" t="n">
        <f aca="false">D59+C60-B60</f>
        <v>186671.98858056</v>
      </c>
    </row>
    <row r="61" customFormat="false" ht="15" hidden="false" customHeight="false" outlineLevel="0" collapsed="false">
      <c r="A61" s="0" t="n">
        <v>51</v>
      </c>
      <c r="B61" s="1" t="n">
        <f aca="false">$B$4</f>
        <v>1073.64324602428</v>
      </c>
      <c r="C61" s="1" t="n">
        <f aca="false">D60*$B$2/12</f>
        <v>777.799952418999</v>
      </c>
      <c r="D61" s="1" t="n">
        <f aca="false">D60+C61-B61</f>
        <v>186376.145286954</v>
      </c>
    </row>
    <row r="62" customFormat="false" ht="15" hidden="false" customHeight="false" outlineLevel="0" collapsed="false">
      <c r="A62" s="0" t="n">
        <v>52</v>
      </c>
      <c r="B62" s="1" t="n">
        <f aca="false">$B$4</f>
        <v>1073.64324602428</v>
      </c>
      <c r="C62" s="1" t="n">
        <f aca="false">D61*$B$2/12</f>
        <v>776.567272028977</v>
      </c>
      <c r="D62" s="1" t="n">
        <f aca="false">D61+C62-B62</f>
        <v>186079.069312959</v>
      </c>
    </row>
    <row r="63" customFormat="false" ht="15" hidden="false" customHeight="false" outlineLevel="0" collapsed="false">
      <c r="A63" s="0" t="n">
        <v>53</v>
      </c>
      <c r="B63" s="1" t="n">
        <f aca="false">$B$4</f>
        <v>1073.64324602428</v>
      </c>
      <c r="C63" s="1" t="n">
        <f aca="false">D62*$B$2/12</f>
        <v>775.329455470663</v>
      </c>
      <c r="D63" s="1" t="n">
        <f aca="false">D62+C63-B63</f>
        <v>185780.755522406</v>
      </c>
    </row>
    <row r="64" customFormat="false" ht="15" hidden="false" customHeight="false" outlineLevel="0" collapsed="false">
      <c r="A64" s="0" t="n">
        <v>54</v>
      </c>
      <c r="B64" s="1" t="n">
        <f aca="false">$B$4</f>
        <v>1073.64324602428</v>
      </c>
      <c r="C64" s="1" t="n">
        <f aca="false">D63*$B$2/12</f>
        <v>774.086481343357</v>
      </c>
      <c r="D64" s="1" t="n">
        <f aca="false">D63+C64-B64</f>
        <v>185481.198757725</v>
      </c>
    </row>
    <row r="65" customFormat="false" ht="15" hidden="false" customHeight="false" outlineLevel="0" collapsed="false">
      <c r="A65" s="0" t="n">
        <v>55</v>
      </c>
      <c r="B65" s="1" t="n">
        <f aca="false">$B$4</f>
        <v>1073.64324602428</v>
      </c>
      <c r="C65" s="1" t="n">
        <f aca="false">D64*$B$2/12</f>
        <v>772.838328157186</v>
      </c>
      <c r="D65" s="1" t="n">
        <f aca="false">D64+C65-B65</f>
        <v>185180.393839858</v>
      </c>
    </row>
    <row r="66" customFormat="false" ht="15" hidden="false" customHeight="false" outlineLevel="0" collapsed="false">
      <c r="A66" s="0" t="n">
        <v>56</v>
      </c>
      <c r="B66" s="1" t="n">
        <f aca="false">$B$4</f>
        <v>1073.64324602428</v>
      </c>
      <c r="C66" s="1" t="n">
        <f aca="false">D65*$B$2/12</f>
        <v>771.58497433274</v>
      </c>
      <c r="D66" s="1" t="n">
        <f aca="false">D65+C66-B66</f>
        <v>184878.335568166</v>
      </c>
    </row>
    <row r="67" customFormat="false" ht="15" hidden="false" customHeight="false" outlineLevel="0" collapsed="false">
      <c r="A67" s="0" t="n">
        <v>57</v>
      </c>
      <c r="B67" s="1" t="n">
        <f aca="false">$B$4</f>
        <v>1073.64324602428</v>
      </c>
      <c r="C67" s="1" t="n">
        <f aca="false">D66*$B$2/12</f>
        <v>770.326398200692</v>
      </c>
      <c r="D67" s="1" t="n">
        <f aca="false">D66+C67-B67</f>
        <v>184575.018720343</v>
      </c>
    </row>
    <row r="68" customFormat="false" ht="15" hidden="false" customHeight="false" outlineLevel="0" collapsed="false">
      <c r="A68" s="0" t="n">
        <v>58</v>
      </c>
      <c r="B68" s="1" t="n">
        <f aca="false">$B$4</f>
        <v>1073.64324602428</v>
      </c>
      <c r="C68" s="1" t="n">
        <f aca="false">D67*$B$2/12</f>
        <v>769.062578001427</v>
      </c>
      <c r="D68" s="1" t="n">
        <f aca="false">D67+C68-B68</f>
        <v>184270.43805232</v>
      </c>
    </row>
    <row r="69" customFormat="false" ht="15" hidden="false" customHeight="false" outlineLevel="0" collapsed="false">
      <c r="A69" s="0" t="n">
        <v>59</v>
      </c>
      <c r="B69" s="1" t="n">
        <f aca="false">$B$4</f>
        <v>1073.64324602428</v>
      </c>
      <c r="C69" s="1" t="n">
        <f aca="false">D68*$B$2/12</f>
        <v>767.793491884665</v>
      </c>
      <c r="D69" s="1" t="n">
        <f aca="false">D68+C69-B69</f>
        <v>183964.58829818</v>
      </c>
    </row>
    <row r="70" customFormat="false" ht="15" hidden="false" customHeight="false" outlineLevel="0" collapsed="false">
      <c r="A70" s="0" t="n">
        <v>60</v>
      </c>
      <c r="B70" s="1" t="n">
        <f aca="false">$B$4</f>
        <v>1073.64324602428</v>
      </c>
      <c r="C70" s="1" t="n">
        <f aca="false">D69*$B$2/12</f>
        <v>766.519117909084</v>
      </c>
      <c r="D70" s="1" t="n">
        <f aca="false">D69+C70-B70</f>
        <v>183657.464170065</v>
      </c>
    </row>
    <row r="71" customFormat="false" ht="15" hidden="false" customHeight="false" outlineLevel="0" collapsed="false">
      <c r="A71" s="0" t="n">
        <v>61</v>
      </c>
      <c r="B71" s="1" t="n">
        <f aca="false">$B$4</f>
        <v>1073.64324602428</v>
      </c>
      <c r="C71" s="1" t="n">
        <f aca="false">D70*$B$2/12</f>
        <v>765.239434041937</v>
      </c>
      <c r="D71" s="1" t="n">
        <f aca="false">D70+C71-B71</f>
        <v>183349.060358083</v>
      </c>
    </row>
    <row r="72" customFormat="false" ht="15" hidden="false" customHeight="false" outlineLevel="0" collapsed="false">
      <c r="A72" s="0" t="n">
        <v>62</v>
      </c>
      <c r="B72" s="1" t="n">
        <f aca="false">$B$4</f>
        <v>1073.64324602428</v>
      </c>
      <c r="C72" s="1" t="n">
        <f aca="false">D71*$B$2/12</f>
        <v>763.954418158677</v>
      </c>
      <c r="D72" s="1" t="n">
        <f aca="false">D71+C72-B72</f>
        <v>183039.371530217</v>
      </c>
    </row>
    <row r="73" customFormat="false" ht="15" hidden="false" customHeight="false" outlineLevel="0" collapsed="false">
      <c r="A73" s="0" t="n">
        <v>63</v>
      </c>
      <c r="B73" s="1" t="n">
        <f aca="false">$B$4</f>
        <v>1073.64324602428</v>
      </c>
      <c r="C73" s="1" t="n">
        <f aca="false">D72*$B$2/12</f>
        <v>762.664048042571</v>
      </c>
      <c r="D73" s="1" t="n">
        <f aca="false">D72+C73-B73</f>
        <v>182728.392332235</v>
      </c>
    </row>
    <row r="74" customFormat="false" ht="15" hidden="false" customHeight="false" outlineLevel="0" collapsed="false">
      <c r="A74" s="0" t="n">
        <v>64</v>
      </c>
      <c r="B74" s="1" t="n">
        <f aca="false">$B$4</f>
        <v>1073.64324602428</v>
      </c>
      <c r="C74" s="1" t="n">
        <f aca="false">D73*$B$2/12</f>
        <v>761.368301384314</v>
      </c>
      <c r="D74" s="1" t="n">
        <f aca="false">D73+C74-B74</f>
        <v>182416.117387595</v>
      </c>
    </row>
    <row r="75" customFormat="false" ht="15" hidden="false" customHeight="false" outlineLevel="0" collapsed="false">
      <c r="A75" s="0" t="n">
        <v>65</v>
      </c>
      <c r="B75" s="1" t="n">
        <f aca="false">$B$4</f>
        <v>1073.64324602428</v>
      </c>
      <c r="C75" s="1" t="n">
        <f aca="false">D74*$B$2/12</f>
        <v>760.067155781647</v>
      </c>
      <c r="D75" s="1" t="n">
        <f aca="false">D74+C75-B75</f>
        <v>182102.541297353</v>
      </c>
    </row>
    <row r="76" customFormat="false" ht="15" hidden="false" customHeight="false" outlineLevel="0" collapsed="false">
      <c r="A76" s="0" t="n">
        <v>66</v>
      </c>
      <c r="B76" s="1" t="n">
        <f aca="false">$B$4</f>
        <v>1073.64324602428</v>
      </c>
      <c r="C76" s="1" t="n">
        <f aca="false">D75*$B$2/12</f>
        <v>758.76058873897</v>
      </c>
      <c r="D76" s="1" t="n">
        <f aca="false">D75+C76-B76</f>
        <v>181787.658640067</v>
      </c>
    </row>
    <row r="77" customFormat="false" ht="15" hidden="false" customHeight="false" outlineLevel="0" collapsed="false">
      <c r="A77" s="0" t="n">
        <v>67</v>
      </c>
      <c r="B77" s="1" t="n">
        <f aca="false">$B$4</f>
        <v>1073.64324602428</v>
      </c>
      <c r="C77" s="1" t="n">
        <f aca="false">D76*$B$2/12</f>
        <v>757.448577666948</v>
      </c>
      <c r="D77" s="1" t="n">
        <f aca="false">D76+C77-B77</f>
        <v>181471.46397171</v>
      </c>
    </row>
    <row r="78" customFormat="false" ht="15" hidden="false" customHeight="false" outlineLevel="0" collapsed="false">
      <c r="A78" s="0" t="n">
        <v>68</v>
      </c>
      <c r="B78" s="1" t="n">
        <f aca="false">$B$4</f>
        <v>1073.64324602428</v>
      </c>
      <c r="C78" s="1" t="n">
        <f aca="false">D77*$B$2/12</f>
        <v>756.131099882126</v>
      </c>
      <c r="D78" s="1" t="n">
        <f aca="false">D77+C78-B78</f>
        <v>181153.951825568</v>
      </c>
    </row>
    <row r="79" customFormat="false" ht="15" hidden="false" customHeight="false" outlineLevel="0" collapsed="false">
      <c r="A79" s="0" t="n">
        <v>69</v>
      </c>
      <c r="B79" s="1" t="n">
        <f aca="false">$B$4</f>
        <v>1073.64324602428</v>
      </c>
      <c r="C79" s="1" t="n">
        <f aca="false">D78*$B$2/12</f>
        <v>754.808132606533</v>
      </c>
      <c r="D79" s="1" t="n">
        <f aca="false">D78+C79-B79</f>
        <v>180835.11671215</v>
      </c>
    </row>
    <row r="80" customFormat="false" ht="15" hidden="false" customHeight="false" outlineLevel="0" collapsed="false">
      <c r="A80" s="0" t="n">
        <v>70</v>
      </c>
      <c r="B80" s="1" t="n">
        <f aca="false">$B$4</f>
        <v>1073.64324602428</v>
      </c>
      <c r="C80" s="1" t="n">
        <f aca="false">D79*$B$2/12</f>
        <v>753.479652967293</v>
      </c>
      <c r="D80" s="1" t="n">
        <f aca="false">D79+C80-B80</f>
        <v>180514.953119093</v>
      </c>
    </row>
    <row r="81" customFormat="false" ht="15" hidden="false" customHeight="false" outlineLevel="0" collapsed="false">
      <c r="A81" s="0" t="n">
        <v>71</v>
      </c>
      <c r="B81" s="1" t="n">
        <f aca="false">$B$4</f>
        <v>1073.64324602428</v>
      </c>
      <c r="C81" s="1" t="n">
        <f aca="false">D80*$B$2/12</f>
        <v>752.145637996222</v>
      </c>
      <c r="D81" s="1" t="n">
        <f aca="false">D80+C81-B81</f>
        <v>180193.455511065</v>
      </c>
    </row>
    <row r="82" customFormat="false" ht="15" hidden="false" customHeight="false" outlineLevel="0" collapsed="false">
      <c r="A82" s="0" t="n">
        <v>72</v>
      </c>
      <c r="B82" s="1" t="n">
        <f aca="false">$B$4</f>
        <v>1073.64324602428</v>
      </c>
      <c r="C82" s="1" t="n">
        <f aca="false">D81*$B$2/12</f>
        <v>750.806064629438</v>
      </c>
      <c r="D82" s="1" t="n">
        <f aca="false">D81+C82-B82</f>
        <v>179870.61832967</v>
      </c>
    </row>
    <row r="83" customFormat="false" ht="15" hidden="false" customHeight="false" outlineLevel="0" collapsed="false">
      <c r="A83" s="0" t="n">
        <v>73</v>
      </c>
      <c r="B83" s="1" t="n">
        <f aca="false">$B$4</f>
        <v>1073.64324602428</v>
      </c>
      <c r="C83" s="1" t="n">
        <f aca="false">D82*$B$2/12</f>
        <v>749.46090970696</v>
      </c>
      <c r="D83" s="1" t="n">
        <f aca="false">D82+C83-B83</f>
        <v>179546.435993353</v>
      </c>
    </row>
    <row r="84" customFormat="false" ht="15" hidden="false" customHeight="false" outlineLevel="0" collapsed="false">
      <c r="A84" s="0" t="n">
        <v>74</v>
      </c>
      <c r="B84" s="1" t="n">
        <f aca="false">$B$4</f>
        <v>1073.64324602428</v>
      </c>
      <c r="C84" s="1" t="n">
        <f aca="false">D83*$B$2/12</f>
        <v>748.110149972305</v>
      </c>
      <c r="D84" s="1" t="n">
        <f aca="false">D83+C84-B84</f>
        <v>179220.902897301</v>
      </c>
    </row>
    <row r="85" customFormat="false" ht="15" hidden="false" customHeight="false" outlineLevel="0" collapsed="false">
      <c r="A85" s="0" t="n">
        <v>75</v>
      </c>
      <c r="B85" s="1" t="n">
        <f aca="false">$B$4</f>
        <v>1073.64324602428</v>
      </c>
      <c r="C85" s="1" t="n">
        <f aca="false">D84*$B$2/12</f>
        <v>746.753762072088</v>
      </c>
      <c r="D85" s="1" t="n">
        <f aca="false">D84+C85-B85</f>
        <v>178894.013413349</v>
      </c>
    </row>
    <row r="86" customFormat="false" ht="15" hidden="false" customHeight="false" outlineLevel="0" collapsed="false">
      <c r="A86" s="0" t="n">
        <v>76</v>
      </c>
      <c r="B86" s="1" t="n">
        <f aca="false">$B$4</f>
        <v>1073.64324602428</v>
      </c>
      <c r="C86" s="1" t="n">
        <f aca="false">D85*$B$2/12</f>
        <v>745.391722555621</v>
      </c>
      <c r="D86" s="1" t="n">
        <f aca="false">D85+C86-B86</f>
        <v>178565.76188988</v>
      </c>
    </row>
    <row r="87" customFormat="false" ht="15" hidden="false" customHeight="false" outlineLevel="0" collapsed="false">
      <c r="A87" s="0" t="n">
        <v>77</v>
      </c>
      <c r="B87" s="1" t="n">
        <f aca="false">$B$4</f>
        <v>1073.64324602428</v>
      </c>
      <c r="C87" s="1" t="n">
        <f aca="false">D86*$B$2/12</f>
        <v>744.024007874501</v>
      </c>
      <c r="D87" s="1" t="n">
        <f aca="false">D86+C87-B87</f>
        <v>178236.142651731</v>
      </c>
    </row>
    <row r="88" customFormat="false" ht="15" hidden="false" customHeight="false" outlineLevel="0" collapsed="false">
      <c r="A88" s="0" t="n">
        <v>78</v>
      </c>
      <c r="B88" s="1" t="n">
        <f aca="false">$B$4</f>
        <v>1073.64324602428</v>
      </c>
      <c r="C88" s="1" t="n">
        <f aca="false">D87*$B$2/12</f>
        <v>742.650594382211</v>
      </c>
      <c r="D88" s="1" t="n">
        <f aca="false">D87+C88-B88</f>
        <v>177905.150000089</v>
      </c>
    </row>
    <row r="89" customFormat="false" ht="15" hidden="false" customHeight="false" outlineLevel="0" collapsed="false">
      <c r="A89" s="0" t="n">
        <v>79</v>
      </c>
      <c r="B89" s="1" t="n">
        <f aca="false">$B$4</f>
        <v>1073.64324602428</v>
      </c>
      <c r="C89" s="1" t="n">
        <f aca="false">D88*$B$2/12</f>
        <v>741.271458333702</v>
      </c>
      <c r="D89" s="1" t="n">
        <f aca="false">D88+C89-B89</f>
        <v>177572.778212398</v>
      </c>
    </row>
    <row r="90" customFormat="false" ht="15" hidden="false" customHeight="false" outlineLevel="0" collapsed="false">
      <c r="A90" s="0" t="n">
        <v>80</v>
      </c>
      <c r="B90" s="1" t="n">
        <f aca="false">$B$4</f>
        <v>1073.64324602428</v>
      </c>
      <c r="C90" s="1" t="n">
        <f aca="false">D89*$B$2/12</f>
        <v>739.886575884991</v>
      </c>
      <c r="D90" s="1" t="n">
        <f aca="false">D89+C90-B90</f>
        <v>177239.021542259</v>
      </c>
    </row>
    <row r="91" customFormat="false" ht="15" hidden="false" customHeight="false" outlineLevel="0" collapsed="false">
      <c r="A91" s="0" t="n">
        <v>81</v>
      </c>
      <c r="B91" s="1" t="n">
        <f aca="false">$B$4</f>
        <v>1073.64324602428</v>
      </c>
      <c r="C91" s="1" t="n">
        <f aca="false">D90*$B$2/12</f>
        <v>738.495923092744</v>
      </c>
      <c r="D91" s="1" t="n">
        <f aca="false">D90+C91-B91</f>
        <v>176903.874219327</v>
      </c>
    </row>
    <row r="92" customFormat="false" ht="15" hidden="false" customHeight="false" outlineLevel="0" collapsed="false">
      <c r="A92" s="0" t="n">
        <v>82</v>
      </c>
      <c r="B92" s="1" t="n">
        <f aca="false">$B$4</f>
        <v>1073.64324602428</v>
      </c>
      <c r="C92" s="1" t="n">
        <f aca="false">D91*$B$2/12</f>
        <v>737.099475913863</v>
      </c>
      <c r="D92" s="1" t="n">
        <f aca="false">D91+C92-B92</f>
        <v>176567.330449217</v>
      </c>
    </row>
    <row r="93" customFormat="false" ht="15" hidden="false" customHeight="false" outlineLevel="0" collapsed="false">
      <c r="A93" s="0" t="n">
        <v>83</v>
      </c>
      <c r="B93" s="1" t="n">
        <f aca="false">$B$4</f>
        <v>1073.64324602428</v>
      </c>
      <c r="C93" s="1" t="n">
        <f aca="false">D92*$B$2/12</f>
        <v>735.69721020507</v>
      </c>
      <c r="D93" s="1" t="n">
        <f aca="false">D92+C93-B93</f>
        <v>176229.384413398</v>
      </c>
    </row>
    <row r="94" customFormat="false" ht="15" hidden="false" customHeight="false" outlineLevel="0" collapsed="false">
      <c r="A94" s="0" t="n">
        <v>84</v>
      </c>
      <c r="B94" s="1" t="n">
        <f aca="false">$B$4</f>
        <v>1073.64324602428</v>
      </c>
      <c r="C94" s="1" t="n">
        <f aca="false">D93*$B$2/12</f>
        <v>734.28910172249</v>
      </c>
      <c r="D94" s="1" t="n">
        <f aca="false">D93+C94-B94</f>
        <v>175890.030269096</v>
      </c>
    </row>
    <row r="95" customFormat="false" ht="15" hidden="false" customHeight="false" outlineLevel="0" collapsed="false">
      <c r="A95" s="0" t="n">
        <v>85</v>
      </c>
      <c r="B95" s="1" t="n">
        <f aca="false">$B$4</f>
        <v>1073.64324602428</v>
      </c>
      <c r="C95" s="1" t="n">
        <f aca="false">D94*$B$2/12</f>
        <v>732.875126121232</v>
      </c>
      <c r="D95" s="1" t="n">
        <f aca="false">D94+C95-B95</f>
        <v>175549.262149193</v>
      </c>
    </row>
    <row r="96" customFormat="false" ht="15" hidden="false" customHeight="false" outlineLevel="0" collapsed="false">
      <c r="A96" s="0" t="n">
        <v>86</v>
      </c>
      <c r="B96" s="1" t="n">
        <f aca="false">$B$4</f>
        <v>1073.64324602428</v>
      </c>
      <c r="C96" s="1" t="n">
        <f aca="false">D95*$B$2/12</f>
        <v>731.45525895497</v>
      </c>
      <c r="D96" s="1" t="n">
        <f aca="false">D95+C96-B96</f>
        <v>175207.074162123</v>
      </c>
    </row>
    <row r="97" customFormat="false" ht="15" hidden="false" customHeight="false" outlineLevel="0" collapsed="false">
      <c r="A97" s="0" t="n">
        <v>87</v>
      </c>
      <c r="B97" s="1" t="n">
        <f aca="false">$B$4</f>
        <v>1073.64324602428</v>
      </c>
      <c r="C97" s="1" t="n">
        <f aca="false">D96*$B$2/12</f>
        <v>730.029475675514</v>
      </c>
      <c r="D97" s="1" t="n">
        <f aca="false">D96+C97-B97</f>
        <v>174863.460391775</v>
      </c>
    </row>
    <row r="98" customFormat="false" ht="15" hidden="false" customHeight="false" outlineLevel="0" collapsed="false">
      <c r="A98" s="0" t="n">
        <v>88</v>
      </c>
      <c r="B98" s="1" t="n">
        <f aca="false">$B$4</f>
        <v>1073.64324602428</v>
      </c>
      <c r="C98" s="1" t="n">
        <f aca="false">D97*$B$2/12</f>
        <v>728.597751632395</v>
      </c>
      <c r="D98" s="1" t="n">
        <f aca="false">D97+C98-B98</f>
        <v>174518.414897383</v>
      </c>
    </row>
    <row r="99" customFormat="false" ht="15" hidden="false" customHeight="false" outlineLevel="0" collapsed="false">
      <c r="A99" s="0" t="n">
        <v>89</v>
      </c>
      <c r="B99" s="1" t="n">
        <f aca="false">$B$4</f>
        <v>1073.64324602428</v>
      </c>
      <c r="C99" s="1" t="n">
        <f aca="false">D98*$B$2/12</f>
        <v>727.160062072428</v>
      </c>
      <c r="D99" s="1" t="n">
        <f aca="false">D98+C99-B99</f>
        <v>174171.931713431</v>
      </c>
    </row>
    <row r="100" customFormat="false" ht="15" hidden="false" customHeight="false" outlineLevel="0" collapsed="false">
      <c r="A100" s="0" t="n">
        <v>90</v>
      </c>
      <c r="B100" s="1" t="n">
        <f aca="false">$B$4</f>
        <v>1073.64324602428</v>
      </c>
      <c r="C100" s="1" t="n">
        <f aca="false">D99*$B$2/12</f>
        <v>725.716382139296</v>
      </c>
      <c r="D100" s="1" t="n">
        <f aca="false">D99+C100-B100</f>
        <v>173824.004849546</v>
      </c>
    </row>
    <row r="101" customFormat="false" ht="15" hidden="false" customHeight="false" outlineLevel="0" collapsed="false">
      <c r="A101" s="0" t="n">
        <v>91</v>
      </c>
      <c r="B101" s="1" t="n">
        <f aca="false">$B$4</f>
        <v>1073.64324602428</v>
      </c>
      <c r="C101" s="1" t="n">
        <f aca="false">D100*$B$2/12</f>
        <v>724.266686873108</v>
      </c>
      <c r="D101" s="1" t="n">
        <f aca="false">D100+C101-B101</f>
        <v>173474.628290395</v>
      </c>
    </row>
    <row r="102" customFormat="false" ht="15" hidden="false" customHeight="false" outlineLevel="0" collapsed="false">
      <c r="A102" s="0" t="n">
        <v>92</v>
      </c>
      <c r="B102" s="1" t="n">
        <f aca="false">$B$4</f>
        <v>1073.64324602428</v>
      </c>
      <c r="C102" s="1" t="n">
        <f aca="false">D101*$B$2/12</f>
        <v>722.810951209979</v>
      </c>
      <c r="D102" s="1" t="n">
        <f aca="false">D101+C102-B102</f>
        <v>173123.795995581</v>
      </c>
    </row>
    <row r="103" customFormat="false" ht="15" hidden="false" customHeight="false" outlineLevel="0" collapsed="false">
      <c r="A103" s="0" t="n">
        <v>93</v>
      </c>
      <c r="B103" s="1" t="n">
        <f aca="false">$B$4</f>
        <v>1073.64324602428</v>
      </c>
      <c r="C103" s="1" t="n">
        <f aca="false">D102*$B$2/12</f>
        <v>721.349149981586</v>
      </c>
      <c r="D103" s="1" t="n">
        <f aca="false">D102+C103-B103</f>
        <v>172771.501899538</v>
      </c>
    </row>
    <row r="104" customFormat="false" ht="15" hidden="false" customHeight="false" outlineLevel="0" collapsed="false">
      <c r="A104" s="0" t="n">
        <v>94</v>
      </c>
      <c r="B104" s="1" t="n">
        <f aca="false">$B$4</f>
        <v>1073.64324602428</v>
      </c>
      <c r="C104" s="1" t="n">
        <f aca="false">D103*$B$2/12</f>
        <v>719.881257914741</v>
      </c>
      <c r="D104" s="1" t="n">
        <f aca="false">D103+C104-B104</f>
        <v>172417.739911428</v>
      </c>
    </row>
    <row r="105" customFormat="false" ht="15" hidden="false" customHeight="false" outlineLevel="0" collapsed="false">
      <c r="A105" s="0" t="n">
        <v>95</v>
      </c>
      <c r="B105" s="1" t="n">
        <f aca="false">$B$4</f>
        <v>1073.64324602428</v>
      </c>
      <c r="C105" s="1" t="n">
        <f aca="false">D104*$B$2/12</f>
        <v>718.407249630951</v>
      </c>
      <c r="D105" s="1" t="n">
        <f aca="false">D104+C105-B105</f>
        <v>172062.503915035</v>
      </c>
    </row>
    <row r="106" customFormat="false" ht="15" hidden="false" customHeight="false" outlineLevel="0" collapsed="false">
      <c r="A106" s="0" t="n">
        <v>96</v>
      </c>
      <c r="B106" s="1" t="n">
        <f aca="false">$B$4</f>
        <v>1073.64324602428</v>
      </c>
      <c r="C106" s="1" t="n">
        <f aca="false">D105*$B$2/12</f>
        <v>716.927099645979</v>
      </c>
      <c r="D106" s="1" t="n">
        <f aca="false">D105+C106-B106</f>
        <v>171705.787768657</v>
      </c>
    </row>
    <row r="107" customFormat="false" ht="15" hidden="false" customHeight="false" outlineLevel="0" collapsed="false">
      <c r="A107" s="0" t="n">
        <v>97</v>
      </c>
      <c r="B107" s="1" t="n">
        <f aca="false">$B$4</f>
        <v>1073.64324602428</v>
      </c>
      <c r="C107" s="1" t="n">
        <f aca="false">D106*$B$2/12</f>
        <v>715.440782369403</v>
      </c>
      <c r="D107" s="1" t="n">
        <f aca="false">D106+C107-B107</f>
        <v>171347.585305002</v>
      </c>
    </row>
    <row r="108" customFormat="false" ht="15" hidden="false" customHeight="false" outlineLevel="0" collapsed="false">
      <c r="A108" s="0" t="n">
        <v>98</v>
      </c>
      <c r="B108" s="1" t="n">
        <f aca="false">$B$4</f>
        <v>1073.64324602428</v>
      </c>
      <c r="C108" s="1" t="n">
        <f aca="false">D107*$B$2/12</f>
        <v>713.948272104175</v>
      </c>
      <c r="D108" s="1" t="n">
        <f aca="false">D107+C108-B108</f>
        <v>170987.890331082</v>
      </c>
    </row>
    <row r="109" customFormat="false" ht="15" hidden="false" customHeight="false" outlineLevel="0" collapsed="false">
      <c r="A109" s="0" t="n">
        <v>99</v>
      </c>
      <c r="B109" s="1" t="n">
        <f aca="false">$B$4</f>
        <v>1073.64324602428</v>
      </c>
      <c r="C109" s="1" t="n">
        <f aca="false">D108*$B$2/12</f>
        <v>712.449543046174</v>
      </c>
      <c r="D109" s="1" t="n">
        <f aca="false">D108+C109-B109</f>
        <v>170626.696628104</v>
      </c>
    </row>
    <row r="110" customFormat="false" ht="15" hidden="false" customHeight="false" outlineLevel="0" collapsed="false">
      <c r="A110" s="0" t="n">
        <v>100</v>
      </c>
      <c r="B110" s="1" t="n">
        <f aca="false">$B$4</f>
        <v>1073.64324602428</v>
      </c>
      <c r="C110" s="1" t="n">
        <f aca="false">D109*$B$2/12</f>
        <v>710.944569283765</v>
      </c>
      <c r="D110" s="1" t="n">
        <f aca="false">D109+C110-B110</f>
        <v>170263.997951363</v>
      </c>
    </row>
    <row r="111" customFormat="false" ht="15" hidden="false" customHeight="false" outlineLevel="0" collapsed="false">
      <c r="A111" s="0" t="n">
        <v>101</v>
      </c>
      <c r="B111" s="1" t="n">
        <f aca="false">$B$4</f>
        <v>1073.64324602428</v>
      </c>
      <c r="C111" s="1" t="n">
        <f aca="false">D110*$B$2/12</f>
        <v>709.433324797347</v>
      </c>
      <c r="D111" s="1" t="n">
        <f aca="false">D110+C111-B111</f>
        <v>169899.788030136</v>
      </c>
    </row>
    <row r="112" customFormat="false" ht="15" hidden="false" customHeight="false" outlineLevel="0" collapsed="false">
      <c r="A112" s="0" t="n">
        <v>102</v>
      </c>
      <c r="B112" s="1" t="n">
        <f aca="false">$B$4</f>
        <v>1073.64324602428</v>
      </c>
      <c r="C112" s="1" t="n">
        <f aca="false">D111*$B$2/12</f>
        <v>707.915783458901</v>
      </c>
      <c r="D112" s="1" t="n">
        <f aca="false">D111+C112-B112</f>
        <v>169534.060567571</v>
      </c>
    </row>
    <row r="113" customFormat="false" ht="15" hidden="false" customHeight="false" outlineLevel="0" collapsed="false">
      <c r="A113" s="0" t="n">
        <v>103</v>
      </c>
      <c r="B113" s="1" t="n">
        <f aca="false">$B$4</f>
        <v>1073.64324602428</v>
      </c>
      <c r="C113" s="1" t="n">
        <f aca="false">D112*$B$2/12</f>
        <v>706.391919031546</v>
      </c>
      <c r="D113" s="1" t="n">
        <f aca="false">D112+C113-B113</f>
        <v>169166.809240578</v>
      </c>
    </row>
    <row r="114" customFormat="false" ht="15" hidden="false" customHeight="false" outlineLevel="0" collapsed="false">
      <c r="A114" s="0" t="n">
        <v>104</v>
      </c>
      <c r="B114" s="1" t="n">
        <f aca="false">$B$4</f>
        <v>1073.64324602428</v>
      </c>
      <c r="C114" s="1" t="n">
        <f aca="false">D113*$B$2/12</f>
        <v>704.861705169076</v>
      </c>
      <c r="D114" s="1" t="n">
        <f aca="false">D113+C114-B114</f>
        <v>168798.027699723</v>
      </c>
    </row>
    <row r="115" customFormat="false" ht="15" hidden="false" customHeight="false" outlineLevel="0" collapsed="false">
      <c r="A115" s="0" t="n">
        <v>105</v>
      </c>
      <c r="B115" s="1" t="n">
        <f aca="false">$B$4</f>
        <v>1073.64324602428</v>
      </c>
      <c r="C115" s="1" t="n">
        <f aca="false">D114*$B$2/12</f>
        <v>703.325115415513</v>
      </c>
      <c r="D115" s="1" t="n">
        <f aca="false">D114+C115-B115</f>
        <v>168427.709569114</v>
      </c>
    </row>
    <row r="116" customFormat="false" ht="15" hidden="false" customHeight="false" outlineLevel="0" collapsed="false">
      <c r="A116" s="0" t="n">
        <v>106</v>
      </c>
      <c r="B116" s="1" t="n">
        <f aca="false">$B$4</f>
        <v>1073.64324602428</v>
      </c>
      <c r="C116" s="1" t="n">
        <f aca="false">D115*$B$2/12</f>
        <v>701.782123204643</v>
      </c>
      <c r="D116" s="1" t="n">
        <f aca="false">D115+C116-B116</f>
        <v>168055.848446295</v>
      </c>
    </row>
    <row r="117" customFormat="false" ht="15" hidden="false" customHeight="false" outlineLevel="0" collapsed="false">
      <c r="A117" s="0" t="n">
        <v>107</v>
      </c>
      <c r="B117" s="1" t="n">
        <f aca="false">$B$4</f>
        <v>1073.64324602428</v>
      </c>
      <c r="C117" s="1" t="n">
        <f aca="false">D116*$B$2/12</f>
        <v>700.232701859561</v>
      </c>
      <c r="D117" s="1" t="n">
        <f aca="false">D116+C117-B117</f>
        <v>167682.43790213</v>
      </c>
    </row>
    <row r="118" customFormat="false" ht="15" hidden="false" customHeight="false" outlineLevel="0" collapsed="false">
      <c r="A118" s="0" t="n">
        <v>108</v>
      </c>
      <c r="B118" s="1" t="n">
        <f aca="false">$B$4</f>
        <v>1073.64324602428</v>
      </c>
      <c r="C118" s="1" t="n">
        <f aca="false">D117*$B$2/12</f>
        <v>698.676824592208</v>
      </c>
      <c r="D118" s="1" t="n">
        <f aca="false">D117+C118-B118</f>
        <v>167307.471480698</v>
      </c>
    </row>
    <row r="119" customFormat="false" ht="15" hidden="false" customHeight="false" outlineLevel="0" collapsed="false">
      <c r="A119" s="0" t="n">
        <v>109</v>
      </c>
      <c r="B119" s="1" t="n">
        <f aca="false">$B$4</f>
        <v>1073.64324602428</v>
      </c>
      <c r="C119" s="1" t="n">
        <f aca="false">D118*$B$2/12</f>
        <v>697.114464502908</v>
      </c>
      <c r="D119" s="1" t="n">
        <f aca="false">D118+C119-B119</f>
        <v>166930.942699177</v>
      </c>
    </row>
    <row r="120" customFormat="false" ht="15" hidden="false" customHeight="false" outlineLevel="0" collapsed="false">
      <c r="A120" s="0" t="n">
        <v>110</v>
      </c>
      <c r="B120" s="1" t="n">
        <f aca="false">$B$4</f>
        <v>1073.64324602428</v>
      </c>
      <c r="C120" s="1" t="n">
        <f aca="false">D119*$B$2/12</f>
        <v>695.545594579902</v>
      </c>
      <c r="D120" s="1" t="n">
        <f aca="false">D119+C120-B120</f>
        <v>166552.845047732</v>
      </c>
    </row>
    <row r="121" customFormat="false" ht="15" hidden="false" customHeight="false" outlineLevel="0" collapsed="false">
      <c r="A121" s="0" t="n">
        <v>111</v>
      </c>
      <c r="B121" s="1" t="n">
        <f aca="false">$B$4</f>
        <v>1073.64324602428</v>
      </c>
      <c r="C121" s="1" t="n">
        <f aca="false">D120*$B$2/12</f>
        <v>693.970187698884</v>
      </c>
      <c r="D121" s="1" t="n">
        <f aca="false">D120+C121-B121</f>
        <v>166173.171989407</v>
      </c>
    </row>
    <row r="122" customFormat="false" ht="15" hidden="false" customHeight="false" outlineLevel="0" collapsed="false">
      <c r="A122" s="0" t="n">
        <v>112</v>
      </c>
      <c r="B122" s="1" t="n">
        <f aca="false">$B$4</f>
        <v>1073.64324602428</v>
      </c>
      <c r="C122" s="1" t="n">
        <f aca="false">D121*$B$2/12</f>
        <v>692.388216622528</v>
      </c>
      <c r="D122" s="1" t="n">
        <f aca="false">D121+C122-B122</f>
        <v>165791.916960005</v>
      </c>
    </row>
    <row r="123" customFormat="false" ht="15" hidden="false" customHeight="false" outlineLevel="0" collapsed="false">
      <c r="A123" s="0" t="n">
        <v>113</v>
      </c>
      <c r="B123" s="1" t="n">
        <f aca="false">$B$4</f>
        <v>1073.64324602428</v>
      </c>
      <c r="C123" s="1" t="n">
        <f aca="false">D122*$B$2/12</f>
        <v>690.799654000021</v>
      </c>
      <c r="D123" s="1" t="n">
        <f aca="false">D122+C123-B123</f>
        <v>165409.073367981</v>
      </c>
    </row>
    <row r="124" customFormat="false" ht="15" hidden="false" customHeight="false" outlineLevel="0" collapsed="false">
      <c r="A124" s="0" t="n">
        <v>114</v>
      </c>
      <c r="B124" s="1" t="n">
        <f aca="false">$B$4</f>
        <v>1073.64324602428</v>
      </c>
      <c r="C124" s="1" t="n">
        <f aca="false">D123*$B$2/12</f>
        <v>689.204472366587</v>
      </c>
      <c r="D124" s="1" t="n">
        <f aca="false">D123+C124-B124</f>
        <v>165024.634594323</v>
      </c>
    </row>
    <row r="125" customFormat="false" ht="15" hidden="false" customHeight="false" outlineLevel="0" collapsed="false">
      <c r="A125" s="0" t="n">
        <v>115</v>
      </c>
      <c r="B125" s="1" t="n">
        <f aca="false">$B$4</f>
        <v>1073.64324602428</v>
      </c>
      <c r="C125" s="1" t="n">
        <f aca="false">D124*$B$2/12</f>
        <v>687.602644143013</v>
      </c>
      <c r="D125" s="1" t="n">
        <f aca="false">D124+C125-B125</f>
        <v>164638.593992442</v>
      </c>
    </row>
    <row r="126" customFormat="false" ht="15" hidden="false" customHeight="false" outlineLevel="0" collapsed="false">
      <c r="A126" s="0" t="n">
        <v>116</v>
      </c>
      <c r="B126" s="1" t="n">
        <f aca="false">$B$4</f>
        <v>1073.64324602428</v>
      </c>
      <c r="C126" s="1" t="n">
        <f aca="false">D125*$B$2/12</f>
        <v>685.994141635174</v>
      </c>
      <c r="D126" s="1" t="n">
        <f aca="false">D125+C126-B126</f>
        <v>164250.944888053</v>
      </c>
    </row>
    <row r="127" customFormat="false" ht="15" hidden="false" customHeight="false" outlineLevel="0" collapsed="false">
      <c r="A127" s="0" t="n">
        <v>117</v>
      </c>
      <c r="B127" s="1" t="n">
        <f aca="false">$B$4</f>
        <v>1073.64324602428</v>
      </c>
      <c r="C127" s="1" t="n">
        <f aca="false">D126*$B$2/12</f>
        <v>684.378937033553</v>
      </c>
      <c r="D127" s="1" t="n">
        <f aca="false">D126+C127-B127</f>
        <v>163861.680579062</v>
      </c>
    </row>
    <row r="128" customFormat="false" ht="15" hidden="false" customHeight="false" outlineLevel="0" collapsed="false">
      <c r="A128" s="0" t="n">
        <v>118</v>
      </c>
      <c r="B128" s="1" t="n">
        <f aca="false">$B$4</f>
        <v>1073.64324602428</v>
      </c>
      <c r="C128" s="1" t="n">
        <f aca="false">D127*$B$2/12</f>
        <v>682.757002412759</v>
      </c>
      <c r="D128" s="1" t="n">
        <f aca="false">D127+C128-B128</f>
        <v>163470.794335451</v>
      </c>
    </row>
    <row r="129" customFormat="false" ht="15" hidden="false" customHeight="false" outlineLevel="0" collapsed="false">
      <c r="A129" s="0" t="n">
        <v>119</v>
      </c>
      <c r="B129" s="1" t="n">
        <f aca="false">$B$4</f>
        <v>1073.64324602428</v>
      </c>
      <c r="C129" s="1" t="n">
        <f aca="false">D128*$B$2/12</f>
        <v>681.128309731044</v>
      </c>
      <c r="D129" s="1" t="n">
        <f aca="false">D128+C129-B129</f>
        <v>163078.279399157</v>
      </c>
    </row>
    <row r="130" customFormat="false" ht="15" hidden="false" customHeight="false" outlineLevel="0" collapsed="false">
      <c r="A130" s="0" t="n">
        <v>120</v>
      </c>
      <c r="B130" s="1" t="n">
        <f aca="false">$B$4</f>
        <v>1073.64324602428</v>
      </c>
      <c r="C130" s="1" t="n">
        <f aca="false">D129*$B$2/12</f>
        <v>679.492830829822</v>
      </c>
      <c r="D130" s="1" t="n">
        <f aca="false">D129+C130-B130</f>
        <v>162684.128983963</v>
      </c>
    </row>
    <row r="131" customFormat="false" ht="15" hidden="false" customHeight="false" outlineLevel="0" collapsed="false">
      <c r="A131" s="0" t="n">
        <v>121</v>
      </c>
      <c r="B131" s="1" t="n">
        <f aca="false">$B$4</f>
        <v>1073.64324602428</v>
      </c>
      <c r="C131" s="1" t="n">
        <f aca="false">D130*$B$2/12</f>
        <v>677.850537433179</v>
      </c>
      <c r="D131" s="1" t="n">
        <f aca="false">D130+C131-B131</f>
        <v>162288.336275372</v>
      </c>
    </row>
    <row r="132" customFormat="false" ht="15" hidden="false" customHeight="false" outlineLevel="0" collapsed="false">
      <c r="A132" s="0" t="n">
        <v>122</v>
      </c>
      <c r="B132" s="1" t="n">
        <f aca="false">$B$4</f>
        <v>1073.64324602428</v>
      </c>
      <c r="C132" s="1" t="n">
        <f aca="false">D131*$B$2/12</f>
        <v>676.201401147382</v>
      </c>
      <c r="D132" s="1" t="n">
        <f aca="false">D131+C132-B132</f>
        <v>161890.894430495</v>
      </c>
    </row>
    <row r="133" customFormat="false" ht="15" hidden="false" customHeight="false" outlineLevel="0" collapsed="false">
      <c r="A133" s="0" t="n">
        <v>123</v>
      </c>
      <c r="B133" s="1" t="n">
        <f aca="false">$B$4</f>
        <v>1073.64324602428</v>
      </c>
      <c r="C133" s="1" t="n">
        <f aca="false">D132*$B$2/12</f>
        <v>674.545393460395</v>
      </c>
      <c r="D133" s="1" t="n">
        <f aca="false">D132+C133-B133</f>
        <v>161491.796577931</v>
      </c>
    </row>
    <row r="134" customFormat="false" ht="15" hidden="false" customHeight="false" outlineLevel="0" collapsed="false">
      <c r="A134" s="0" t="n">
        <v>124</v>
      </c>
      <c r="B134" s="1" t="n">
        <f aca="false">$B$4</f>
        <v>1073.64324602428</v>
      </c>
      <c r="C134" s="1" t="n">
        <f aca="false">D133*$B$2/12</f>
        <v>672.882485741379</v>
      </c>
      <c r="D134" s="1" t="n">
        <f aca="false">D133+C134-B134</f>
        <v>161091.035817648</v>
      </c>
    </row>
    <row r="135" customFormat="false" ht="15" hidden="false" customHeight="false" outlineLevel="0" collapsed="false">
      <c r="A135" s="0" t="n">
        <v>125</v>
      </c>
      <c r="B135" s="1" t="n">
        <f aca="false">$B$4</f>
        <v>1073.64324602428</v>
      </c>
      <c r="C135" s="1" t="n">
        <f aca="false">D134*$B$2/12</f>
        <v>671.2126492402</v>
      </c>
      <c r="D135" s="1" t="n">
        <f aca="false">D134+C135-B135</f>
        <v>160688.605220864</v>
      </c>
    </row>
    <row r="136" customFormat="false" ht="15" hidden="false" customHeight="false" outlineLevel="0" collapsed="false">
      <c r="A136" s="0" t="n">
        <v>126</v>
      </c>
      <c r="B136" s="1" t="n">
        <f aca="false">$B$4</f>
        <v>1073.64324602428</v>
      </c>
      <c r="C136" s="1" t="n">
        <f aca="false">D135*$B$2/12</f>
        <v>669.535855086934</v>
      </c>
      <c r="D136" s="1" t="n">
        <f aca="false">D135+C136-B136</f>
        <v>160284.497829927</v>
      </c>
    </row>
    <row r="137" customFormat="false" ht="15" hidden="false" customHeight="false" outlineLevel="0" collapsed="false">
      <c r="A137" s="0" t="n">
        <v>127</v>
      </c>
      <c r="B137" s="1" t="n">
        <f aca="false">$B$4</f>
        <v>1073.64324602428</v>
      </c>
      <c r="C137" s="1" t="n">
        <f aca="false">D136*$B$2/12</f>
        <v>667.852074291361</v>
      </c>
      <c r="D137" s="1" t="n">
        <f aca="false">D136+C137-B137</f>
        <v>159878.706658194</v>
      </c>
    </row>
    <row r="138" customFormat="false" ht="15" hidden="false" customHeight="false" outlineLevel="0" collapsed="false">
      <c r="A138" s="0" t="n">
        <v>128</v>
      </c>
      <c r="B138" s="1" t="n">
        <f aca="false">$B$4</f>
        <v>1073.64324602428</v>
      </c>
      <c r="C138" s="1" t="n">
        <f aca="false">D137*$B$2/12</f>
        <v>666.161277742474</v>
      </c>
      <c r="D138" s="1" t="n">
        <f aca="false">D137+C138-B138</f>
        <v>159471.224689912</v>
      </c>
    </row>
    <row r="139" customFormat="false" ht="15" hidden="false" customHeight="false" outlineLevel="0" collapsed="false">
      <c r="A139" s="0" t="n">
        <v>129</v>
      </c>
      <c r="B139" s="1" t="n">
        <f aca="false">$B$4</f>
        <v>1073.64324602428</v>
      </c>
      <c r="C139" s="1" t="n">
        <f aca="false">D138*$B$2/12</f>
        <v>664.463436207967</v>
      </c>
      <c r="D139" s="1" t="n">
        <f aca="false">D138+C139-B139</f>
        <v>159062.044880096</v>
      </c>
    </row>
    <row r="140" customFormat="false" ht="15" hidden="false" customHeight="false" outlineLevel="0" collapsed="false">
      <c r="A140" s="0" t="n">
        <v>130</v>
      </c>
      <c r="B140" s="1" t="n">
        <f aca="false">$B$4</f>
        <v>1073.64324602428</v>
      </c>
      <c r="C140" s="1" t="n">
        <f aca="false">D139*$B$2/12</f>
        <v>662.758520333732</v>
      </c>
      <c r="D140" s="1" t="n">
        <f aca="false">D139+C140-B140</f>
        <v>158651.160154405</v>
      </c>
    </row>
    <row r="141" customFormat="false" ht="15" hidden="false" customHeight="false" outlineLevel="0" collapsed="false">
      <c r="A141" s="0" t="n">
        <v>131</v>
      </c>
      <c r="B141" s="1" t="n">
        <f aca="false">$B$4</f>
        <v>1073.64324602428</v>
      </c>
      <c r="C141" s="1" t="n">
        <f aca="false">D140*$B$2/12</f>
        <v>661.046500643355</v>
      </c>
      <c r="D141" s="1" t="n">
        <f aca="false">D140+C141-B141</f>
        <v>158238.563409024</v>
      </c>
    </row>
    <row r="142" customFormat="false" ht="15" hidden="false" customHeight="false" outlineLevel="0" collapsed="false">
      <c r="A142" s="0" t="n">
        <v>132</v>
      </c>
      <c r="B142" s="1" t="n">
        <f aca="false">$B$4</f>
        <v>1073.64324602428</v>
      </c>
      <c r="C142" s="1" t="n">
        <f aca="false">D141*$B$2/12</f>
        <v>659.327347537601</v>
      </c>
      <c r="D142" s="1" t="n">
        <f aca="false">D141+C142-B142</f>
        <v>157824.247510538</v>
      </c>
    </row>
    <row r="143" customFormat="false" ht="15" hidden="false" customHeight="false" outlineLevel="0" collapsed="false">
      <c r="A143" s="0" t="n">
        <v>133</v>
      </c>
      <c r="B143" s="1" t="n">
        <f aca="false">$B$4</f>
        <v>1073.64324602428</v>
      </c>
      <c r="C143" s="1" t="n">
        <f aca="false">D142*$B$2/12</f>
        <v>657.601031293907</v>
      </c>
      <c r="D143" s="1" t="n">
        <f aca="false">D142+C143-B143</f>
        <v>157408.205295807</v>
      </c>
    </row>
    <row r="144" customFormat="false" ht="15" hidden="false" customHeight="false" outlineLevel="0" collapsed="false">
      <c r="A144" s="0" t="n">
        <v>134</v>
      </c>
      <c r="B144" s="1" t="n">
        <f aca="false">$B$4</f>
        <v>1073.64324602428</v>
      </c>
      <c r="C144" s="1" t="n">
        <f aca="false">D143*$B$2/12</f>
        <v>655.867522065864</v>
      </c>
      <c r="D144" s="1" t="n">
        <f aca="false">D143+C144-B144</f>
        <v>156990.429571849</v>
      </c>
    </row>
    <row r="145" customFormat="false" ht="15" hidden="false" customHeight="false" outlineLevel="0" collapsed="false">
      <c r="A145" s="0" t="n">
        <v>135</v>
      </c>
      <c r="B145" s="1" t="n">
        <f aca="false">$B$4</f>
        <v>1073.64324602428</v>
      </c>
      <c r="C145" s="1" t="n">
        <f aca="false">D144*$B$2/12</f>
        <v>654.126789882704</v>
      </c>
      <c r="D145" s="1" t="n">
        <f aca="false">D144+C145-B145</f>
        <v>156570.913115707</v>
      </c>
    </row>
    <row r="146" customFormat="false" ht="15" hidden="false" customHeight="false" outlineLevel="0" collapsed="false">
      <c r="A146" s="0" t="n">
        <v>136</v>
      </c>
      <c r="B146" s="1" t="n">
        <f aca="false">$B$4</f>
        <v>1073.64324602428</v>
      </c>
      <c r="C146" s="1" t="n">
        <f aca="false">D145*$B$2/12</f>
        <v>652.37880464878</v>
      </c>
      <c r="D146" s="1" t="n">
        <f aca="false">D145+C146-B146</f>
        <v>156149.648674332</v>
      </c>
    </row>
    <row r="147" customFormat="false" ht="15" hidden="false" customHeight="false" outlineLevel="0" collapsed="false">
      <c r="A147" s="0" t="n">
        <v>137</v>
      </c>
      <c r="B147" s="1" t="n">
        <f aca="false">$B$4</f>
        <v>1073.64324602428</v>
      </c>
      <c r="C147" s="1" t="n">
        <f aca="false">D146*$B$2/12</f>
        <v>650.623536143049</v>
      </c>
      <c r="D147" s="1" t="n">
        <f aca="false">D146+C147-B147</f>
        <v>155726.628964451</v>
      </c>
    </row>
    <row r="148" customFormat="false" ht="15" hidden="false" customHeight="false" outlineLevel="0" collapsed="false">
      <c r="A148" s="0" t="n">
        <v>138</v>
      </c>
      <c r="B148" s="1" t="n">
        <f aca="false">$B$4</f>
        <v>1073.64324602428</v>
      </c>
      <c r="C148" s="1" t="n">
        <f aca="false">D147*$B$2/12</f>
        <v>648.860954018544</v>
      </c>
      <c r="D148" s="1" t="n">
        <f aca="false">D147+C148-B148</f>
        <v>155301.846672445</v>
      </c>
    </row>
    <row r="149" customFormat="false" ht="15" hidden="false" customHeight="false" outlineLevel="0" collapsed="false">
      <c r="A149" s="0" t="n">
        <v>139</v>
      </c>
      <c r="B149" s="1" t="n">
        <f aca="false">$B$4</f>
        <v>1073.64324602428</v>
      </c>
      <c r="C149" s="1" t="n">
        <f aca="false">D148*$B$2/12</f>
        <v>647.091027801854</v>
      </c>
      <c r="D149" s="1" t="n">
        <f aca="false">D148+C149-B149</f>
        <v>154875.294454222</v>
      </c>
    </row>
    <row r="150" customFormat="false" ht="15" hidden="false" customHeight="false" outlineLevel="0" collapsed="false">
      <c r="A150" s="0" t="n">
        <v>140</v>
      </c>
      <c r="B150" s="1" t="n">
        <f aca="false">$B$4</f>
        <v>1073.64324602428</v>
      </c>
      <c r="C150" s="1" t="n">
        <f aca="false">D149*$B$2/12</f>
        <v>645.313726892594</v>
      </c>
      <c r="D150" s="1" t="n">
        <f aca="false">D149+C150-B150</f>
        <v>154446.964935091</v>
      </c>
    </row>
    <row r="151" customFormat="false" ht="15" hidden="false" customHeight="false" outlineLevel="0" collapsed="false">
      <c r="A151" s="0" t="n">
        <v>141</v>
      </c>
      <c r="B151" s="1" t="n">
        <f aca="false">$B$4</f>
        <v>1073.64324602428</v>
      </c>
      <c r="C151" s="1" t="n">
        <f aca="false">D150*$B$2/12</f>
        <v>643.529020562878</v>
      </c>
      <c r="D151" s="1" t="n">
        <f aca="false">D150+C151-B151</f>
        <v>154016.850709629</v>
      </c>
    </row>
    <row r="152" customFormat="false" ht="15" hidden="false" customHeight="false" outlineLevel="0" collapsed="false">
      <c r="A152" s="0" t="n">
        <v>142</v>
      </c>
      <c r="B152" s="1" t="n">
        <f aca="false">$B$4</f>
        <v>1073.64324602428</v>
      </c>
      <c r="C152" s="1" t="n">
        <f aca="false">D151*$B$2/12</f>
        <v>641.736877956789</v>
      </c>
      <c r="D152" s="1" t="n">
        <f aca="false">D151+C152-B152</f>
        <v>153584.944341562</v>
      </c>
    </row>
    <row r="153" customFormat="false" ht="15" hidden="false" customHeight="false" outlineLevel="0" collapsed="false">
      <c r="A153" s="0" t="n">
        <v>143</v>
      </c>
      <c r="B153" s="1" t="n">
        <f aca="false">$B$4</f>
        <v>1073.64324602428</v>
      </c>
      <c r="C153" s="1" t="n">
        <f aca="false">D152*$B$2/12</f>
        <v>639.937268089841</v>
      </c>
      <c r="D153" s="1" t="n">
        <f aca="false">D152+C153-B153</f>
        <v>153151.238363628</v>
      </c>
    </row>
    <row r="154" customFormat="false" ht="15" hidden="false" customHeight="false" outlineLevel="0" collapsed="false">
      <c r="A154" s="0" t="n">
        <v>144</v>
      </c>
      <c r="B154" s="1" t="n">
        <f aca="false">$B$4</f>
        <v>1073.64324602428</v>
      </c>
      <c r="C154" s="1" t="n">
        <f aca="false">D153*$B$2/12</f>
        <v>638.130159848448</v>
      </c>
      <c r="D154" s="1" t="n">
        <f aca="false">D153+C154-B154</f>
        <v>152715.725277452</v>
      </c>
    </row>
    <row r="155" customFormat="false" ht="15" hidden="false" customHeight="false" outlineLevel="0" collapsed="false">
      <c r="A155" s="0" t="n">
        <v>145</v>
      </c>
      <c r="B155" s="1" t="n">
        <f aca="false">$B$4</f>
        <v>1073.64324602428</v>
      </c>
      <c r="C155" s="1" t="n">
        <f aca="false">D154*$B$2/12</f>
        <v>636.315521989382</v>
      </c>
      <c r="D155" s="1" t="n">
        <f aca="false">D154+C155-B155</f>
        <v>152278.397553417</v>
      </c>
    </row>
    <row r="156" customFormat="false" ht="15" hidden="false" customHeight="false" outlineLevel="0" collapsed="false">
      <c r="A156" s="0" t="n">
        <v>146</v>
      </c>
      <c r="B156" s="1" t="n">
        <f aca="false">$B$4</f>
        <v>1073.64324602428</v>
      </c>
      <c r="C156" s="1" t="n">
        <f aca="false">D155*$B$2/12</f>
        <v>634.493323139237</v>
      </c>
      <c r="D156" s="1" t="n">
        <f aca="false">D155+C156-B156</f>
        <v>151839.247630532</v>
      </c>
    </row>
    <row r="157" customFormat="false" ht="15" hidden="false" customHeight="false" outlineLevel="0" collapsed="false">
      <c r="A157" s="0" t="n">
        <v>147</v>
      </c>
      <c r="B157" s="1" t="n">
        <f aca="false">$B$4</f>
        <v>1073.64324602428</v>
      </c>
      <c r="C157" s="1" t="n">
        <f aca="false">D156*$B$2/12</f>
        <v>632.663531793883</v>
      </c>
      <c r="D157" s="1" t="n">
        <f aca="false">D156+C157-B157</f>
        <v>151398.267916301</v>
      </c>
    </row>
    <row r="158" customFormat="false" ht="15" hidden="false" customHeight="false" outlineLevel="0" collapsed="false">
      <c r="A158" s="0" t="n">
        <v>148</v>
      </c>
      <c r="B158" s="1" t="n">
        <f aca="false">$B$4</f>
        <v>1073.64324602428</v>
      </c>
      <c r="C158" s="1" t="n">
        <f aca="false">D157*$B$2/12</f>
        <v>630.826116317923</v>
      </c>
      <c r="D158" s="1" t="n">
        <f aca="false">D157+C158-B158</f>
        <v>150955.450786595</v>
      </c>
    </row>
    <row r="159" customFormat="false" ht="15" hidden="false" customHeight="false" outlineLevel="0" collapsed="false">
      <c r="A159" s="0" t="n">
        <v>149</v>
      </c>
      <c r="B159" s="1" t="n">
        <f aca="false">$B$4</f>
        <v>1073.64324602428</v>
      </c>
      <c r="C159" s="1" t="n">
        <f aca="false">D158*$B$2/12</f>
        <v>628.981044944146</v>
      </c>
      <c r="D159" s="1" t="n">
        <f aca="false">D158+C159-B159</f>
        <v>150510.788585515</v>
      </c>
    </row>
    <row r="160" customFormat="false" ht="15" hidden="false" customHeight="false" outlineLevel="0" collapsed="false">
      <c r="A160" s="0" t="n">
        <v>150</v>
      </c>
      <c r="B160" s="1" t="n">
        <f aca="false">$B$4</f>
        <v>1073.64324602428</v>
      </c>
      <c r="C160" s="1" t="n">
        <f aca="false">D159*$B$2/12</f>
        <v>627.128285772979</v>
      </c>
      <c r="D160" s="1" t="n">
        <f aca="false">D159+C160-B160</f>
        <v>150064.273625264</v>
      </c>
    </row>
    <row r="161" customFormat="false" ht="15" hidden="false" customHeight="false" outlineLevel="0" collapsed="false">
      <c r="A161" s="0" t="n">
        <v>151</v>
      </c>
      <c r="B161" s="1" t="n">
        <f aca="false">$B$4</f>
        <v>1073.64324602428</v>
      </c>
      <c r="C161" s="1" t="n">
        <f aca="false">D160*$B$2/12</f>
        <v>625.267806771932</v>
      </c>
      <c r="D161" s="1" t="n">
        <f aca="false">D160+C161-B161</f>
        <v>149615.898186011</v>
      </c>
    </row>
    <row r="162" customFormat="false" ht="15" hidden="false" customHeight="false" outlineLevel="0" collapsed="false">
      <c r="A162" s="0" t="n">
        <v>152</v>
      </c>
      <c r="B162" s="1" t="n">
        <f aca="false">$B$4</f>
        <v>1073.64324602428</v>
      </c>
      <c r="C162" s="1" t="n">
        <f aca="false">D161*$B$2/12</f>
        <v>623.399575775047</v>
      </c>
      <c r="D162" s="1" t="n">
        <f aca="false">D161+C162-B162</f>
        <v>149165.654515762</v>
      </c>
    </row>
    <row r="163" customFormat="false" ht="15" hidden="false" customHeight="false" outlineLevel="0" collapsed="false">
      <c r="A163" s="0" t="n">
        <v>153</v>
      </c>
      <c r="B163" s="1" t="n">
        <f aca="false">$B$4</f>
        <v>1073.64324602428</v>
      </c>
      <c r="C163" s="1" t="n">
        <f aca="false">D162*$B$2/12</f>
        <v>621.523560482342</v>
      </c>
      <c r="D163" s="1" t="n">
        <f aca="false">D162+C163-B163</f>
        <v>148713.53483022</v>
      </c>
    </row>
    <row r="164" customFormat="false" ht="15" hidden="false" customHeight="false" outlineLevel="0" collapsed="false">
      <c r="A164" s="0" t="n">
        <v>154</v>
      </c>
      <c r="B164" s="1" t="n">
        <f aca="false">$B$4</f>
        <v>1073.64324602428</v>
      </c>
      <c r="C164" s="1" t="n">
        <f aca="false">D163*$B$2/12</f>
        <v>619.639728459251</v>
      </c>
      <c r="D164" s="1" t="n">
        <f aca="false">D163+C164-B164</f>
        <v>148259.531312655</v>
      </c>
    </row>
    <row r="165" customFormat="false" ht="15" hidden="false" customHeight="false" outlineLevel="0" collapsed="false">
      <c r="A165" s="0" t="n">
        <v>155</v>
      </c>
      <c r="B165" s="1" t="n">
        <f aca="false">$B$4</f>
        <v>1073.64324602428</v>
      </c>
      <c r="C165" s="1" t="n">
        <f aca="false">D164*$B$2/12</f>
        <v>617.748047136063</v>
      </c>
      <c r="D165" s="1" t="n">
        <f aca="false">D164+C165-B165</f>
        <v>147803.636113767</v>
      </c>
    </row>
    <row r="166" customFormat="false" ht="15" hidden="false" customHeight="false" outlineLevel="0" collapsed="false">
      <c r="A166" s="0" t="n">
        <v>156</v>
      </c>
      <c r="B166" s="1" t="n">
        <f aca="false">$B$4</f>
        <v>1073.64324602428</v>
      </c>
      <c r="C166" s="1" t="n">
        <f aca="false">D165*$B$2/12</f>
        <v>615.848483807362</v>
      </c>
      <c r="D166" s="1" t="n">
        <f aca="false">D165+C166-B166</f>
        <v>147345.84135155</v>
      </c>
    </row>
    <row r="167" customFormat="false" ht="15" hidden="false" customHeight="false" outlineLevel="0" collapsed="false">
      <c r="A167" s="0" t="n">
        <v>157</v>
      </c>
      <c r="B167" s="1" t="n">
        <f aca="false">$B$4</f>
        <v>1073.64324602428</v>
      </c>
      <c r="C167" s="1" t="n">
        <f aca="false">D166*$B$2/12</f>
        <v>613.941005631459</v>
      </c>
      <c r="D167" s="1" t="n">
        <f aca="false">D166+C167-B167</f>
        <v>146886.139111157</v>
      </c>
    </row>
    <row r="168" customFormat="false" ht="15" hidden="false" customHeight="false" outlineLevel="0" collapsed="false">
      <c r="A168" s="0" t="n">
        <v>158</v>
      </c>
      <c r="B168" s="1" t="n">
        <f aca="false">$B$4</f>
        <v>1073.64324602428</v>
      </c>
      <c r="C168" s="1" t="n">
        <f aca="false">D167*$B$2/12</f>
        <v>612.025579629822</v>
      </c>
      <c r="D168" s="1" t="n">
        <f aca="false">D167+C168-B168</f>
        <v>146424.521444763</v>
      </c>
    </row>
    <row r="169" customFormat="false" ht="15" hidden="false" customHeight="false" outlineLevel="0" collapsed="false">
      <c r="A169" s="0" t="n">
        <v>159</v>
      </c>
      <c r="B169" s="1" t="n">
        <f aca="false">$B$4</f>
        <v>1073.64324602428</v>
      </c>
      <c r="C169" s="1" t="n">
        <f aca="false">D168*$B$2/12</f>
        <v>610.102172686512</v>
      </c>
      <c r="D169" s="1" t="n">
        <f aca="false">D168+C169-B169</f>
        <v>145960.980371425</v>
      </c>
    </row>
    <row r="170" customFormat="false" ht="15" hidden="false" customHeight="false" outlineLevel="0" collapsed="false">
      <c r="A170" s="0" t="n">
        <v>160</v>
      </c>
      <c r="B170" s="1" t="n">
        <f aca="false">$B$4</f>
        <v>1073.64324602428</v>
      </c>
      <c r="C170" s="1" t="n">
        <f aca="false">D169*$B$2/12</f>
        <v>608.170751547605</v>
      </c>
      <c r="D170" s="1" t="n">
        <f aca="false">D169+C170-B170</f>
        <v>145495.507876948</v>
      </c>
    </row>
    <row r="171" customFormat="false" ht="15" hidden="false" customHeight="false" outlineLevel="0" collapsed="false">
      <c r="A171" s="0" t="n">
        <v>161</v>
      </c>
      <c r="B171" s="1" t="n">
        <f aca="false">$B$4</f>
        <v>1073.64324602428</v>
      </c>
      <c r="C171" s="1" t="n">
        <f aca="false">D170*$B$2/12</f>
        <v>606.231282820619</v>
      </c>
      <c r="D171" s="1" t="n">
        <f aca="false">D170+C171-B171</f>
        <v>145028.095913745</v>
      </c>
    </row>
    <row r="172" customFormat="false" ht="15" hidden="false" customHeight="false" outlineLevel="0" collapsed="false">
      <c r="A172" s="0" t="n">
        <v>162</v>
      </c>
      <c r="B172" s="1" t="n">
        <f aca="false">$B$4</f>
        <v>1073.64324602428</v>
      </c>
      <c r="C172" s="1" t="n">
        <f aca="false">D171*$B$2/12</f>
        <v>604.283732973937</v>
      </c>
      <c r="D172" s="1" t="n">
        <f aca="false">D171+C172-B172</f>
        <v>144558.736400694</v>
      </c>
    </row>
    <row r="173" customFormat="false" ht="15" hidden="false" customHeight="false" outlineLevel="0" collapsed="false">
      <c r="A173" s="0" t="n">
        <v>163</v>
      </c>
      <c r="B173" s="1" t="n">
        <f aca="false">$B$4</f>
        <v>1073.64324602428</v>
      </c>
      <c r="C173" s="1" t="n">
        <f aca="false">D172*$B$2/12</f>
        <v>602.328068336227</v>
      </c>
      <c r="D173" s="1" t="n">
        <f aca="false">D172+C173-B173</f>
        <v>144087.421223006</v>
      </c>
    </row>
    <row r="174" customFormat="false" ht="15" hidden="false" customHeight="false" outlineLevel="0" collapsed="false">
      <c r="A174" s="0" t="n">
        <v>164</v>
      </c>
      <c r="B174" s="1" t="n">
        <f aca="false">$B$4</f>
        <v>1073.64324602428</v>
      </c>
      <c r="C174" s="1" t="n">
        <f aca="false">D173*$B$2/12</f>
        <v>600.36425509586</v>
      </c>
      <c r="D174" s="1" t="n">
        <f aca="false">D173+C174-B174</f>
        <v>143614.142232078</v>
      </c>
    </row>
    <row r="175" customFormat="false" ht="15" hidden="false" customHeight="false" outlineLevel="0" collapsed="false">
      <c r="A175" s="0" t="n">
        <v>165</v>
      </c>
      <c r="B175" s="1" t="n">
        <f aca="false">$B$4</f>
        <v>1073.64324602428</v>
      </c>
      <c r="C175" s="1" t="n">
        <f aca="false">D174*$B$2/12</f>
        <v>598.392259300325</v>
      </c>
      <c r="D175" s="1" t="n">
        <f aca="false">D174+C175-B175</f>
        <v>143138.891245354</v>
      </c>
    </row>
    <row r="176" customFormat="false" ht="15" hidden="false" customHeight="false" outlineLevel="0" collapsed="false">
      <c r="A176" s="0" t="n">
        <v>166</v>
      </c>
      <c r="B176" s="1" t="n">
        <f aca="false">$B$4</f>
        <v>1073.64324602428</v>
      </c>
      <c r="C176" s="1" t="n">
        <f aca="false">D175*$B$2/12</f>
        <v>596.412046855642</v>
      </c>
      <c r="D176" s="1" t="n">
        <f aca="false">D175+C176-B176</f>
        <v>142661.660046185</v>
      </c>
    </row>
    <row r="177" customFormat="false" ht="15" hidden="false" customHeight="false" outlineLevel="0" collapsed="false">
      <c r="A177" s="0" t="n">
        <v>167</v>
      </c>
      <c r="B177" s="1" t="n">
        <f aca="false">$B$4</f>
        <v>1073.64324602428</v>
      </c>
      <c r="C177" s="1" t="n">
        <f aca="false">D176*$B$2/12</f>
        <v>594.423583525773</v>
      </c>
      <c r="D177" s="1" t="n">
        <f aca="false">D176+C177-B177</f>
        <v>142182.440383687</v>
      </c>
    </row>
    <row r="178" customFormat="false" ht="15" hidden="false" customHeight="false" outlineLevel="0" collapsed="false">
      <c r="A178" s="0" t="n">
        <v>168</v>
      </c>
      <c r="B178" s="1" t="n">
        <f aca="false">$B$4</f>
        <v>1073.64324602428</v>
      </c>
      <c r="C178" s="1" t="n">
        <f aca="false">D177*$B$2/12</f>
        <v>592.426834932029</v>
      </c>
      <c r="D178" s="1" t="n">
        <f aca="false">D177+C178-B178</f>
        <v>141701.223972595</v>
      </c>
    </row>
    <row r="179" customFormat="false" ht="15" hidden="false" customHeight="false" outlineLevel="0" collapsed="false">
      <c r="A179" s="0" t="n">
        <v>169</v>
      </c>
      <c r="B179" s="1" t="n">
        <f aca="false">$B$4</f>
        <v>1073.64324602428</v>
      </c>
      <c r="C179" s="1" t="n">
        <f aca="false">D178*$B$2/12</f>
        <v>590.421766552478</v>
      </c>
      <c r="D179" s="1" t="n">
        <f aca="false">D178+C179-B179</f>
        <v>141218.002493123</v>
      </c>
    </row>
    <row r="180" customFormat="false" ht="15" hidden="false" customHeight="false" outlineLevel="0" collapsed="false">
      <c r="A180" s="0" t="n">
        <v>170</v>
      </c>
      <c r="B180" s="1" t="n">
        <f aca="false">$B$4</f>
        <v>1073.64324602428</v>
      </c>
      <c r="C180" s="1" t="n">
        <f aca="false">D179*$B$2/12</f>
        <v>588.408343721346</v>
      </c>
      <c r="D180" s="1" t="n">
        <f aca="false">D179+C180-B180</f>
        <v>140732.76759082</v>
      </c>
    </row>
    <row r="181" customFormat="false" ht="15" hidden="false" customHeight="false" outlineLevel="0" collapsed="false">
      <c r="A181" s="0" t="n">
        <v>171</v>
      </c>
      <c r="B181" s="1" t="n">
        <f aca="false">$B$4</f>
        <v>1073.64324602428</v>
      </c>
      <c r="C181" s="1" t="n">
        <f aca="false">D180*$B$2/12</f>
        <v>586.386531628417</v>
      </c>
      <c r="D181" s="1" t="n">
        <f aca="false">D180+C181-B181</f>
        <v>140245.510876424</v>
      </c>
    </row>
    <row r="182" customFormat="false" ht="15" hidden="false" customHeight="false" outlineLevel="0" collapsed="false">
      <c r="A182" s="0" t="n">
        <v>172</v>
      </c>
      <c r="B182" s="1" t="n">
        <f aca="false">$B$4</f>
        <v>1073.64324602428</v>
      </c>
      <c r="C182" s="1" t="n">
        <f aca="false">D181*$B$2/12</f>
        <v>584.356295318434</v>
      </c>
      <c r="D182" s="1" t="n">
        <f aca="false">D181+C182-B182</f>
        <v>139756.223925718</v>
      </c>
    </row>
    <row r="183" customFormat="false" ht="15" hidden="false" customHeight="false" outlineLevel="0" collapsed="false">
      <c r="A183" s="0" t="n">
        <v>173</v>
      </c>
      <c r="B183" s="1" t="n">
        <f aca="false">$B$4</f>
        <v>1073.64324602428</v>
      </c>
      <c r="C183" s="1" t="n">
        <f aca="false">D182*$B$2/12</f>
        <v>582.317599690493</v>
      </c>
      <c r="D183" s="1" t="n">
        <f aca="false">D182+C183-B183</f>
        <v>139264.898279385</v>
      </c>
    </row>
    <row r="184" customFormat="false" ht="15" hidden="false" customHeight="false" outlineLevel="0" collapsed="false">
      <c r="A184" s="0" t="n">
        <v>174</v>
      </c>
      <c r="B184" s="1" t="n">
        <f aca="false">$B$4</f>
        <v>1073.64324602428</v>
      </c>
      <c r="C184" s="1" t="n">
        <f aca="false">D183*$B$2/12</f>
        <v>580.270409497436</v>
      </c>
      <c r="D184" s="1" t="n">
        <f aca="false">D183+C184-B184</f>
        <v>138771.525442858</v>
      </c>
    </row>
    <row r="185" customFormat="false" ht="15" hidden="false" customHeight="false" outlineLevel="0" collapsed="false">
      <c r="A185" s="0" t="n">
        <v>175</v>
      </c>
      <c r="B185" s="1" t="n">
        <f aca="false">$B$4</f>
        <v>1073.64324602428</v>
      </c>
      <c r="C185" s="1" t="n">
        <f aca="false">D184*$B$2/12</f>
        <v>578.214689345241</v>
      </c>
      <c r="D185" s="1" t="n">
        <f aca="false">D184+C185-B185</f>
        <v>138276.096886179</v>
      </c>
    </row>
    <row r="186" customFormat="false" ht="15" hidden="false" customHeight="false" outlineLevel="0" collapsed="false">
      <c r="A186" s="0" t="n">
        <v>176</v>
      </c>
      <c r="B186" s="1" t="n">
        <f aca="false">$B$4</f>
        <v>1073.64324602428</v>
      </c>
      <c r="C186" s="1" t="n">
        <f aca="false">D185*$B$2/12</f>
        <v>576.150403692412</v>
      </c>
      <c r="D186" s="1" t="n">
        <f aca="false">D185+C186-B186</f>
        <v>137778.604043847</v>
      </c>
    </row>
    <row r="187" customFormat="false" ht="15" hidden="false" customHeight="false" outlineLevel="0" collapsed="false">
      <c r="A187" s="0" t="n">
        <v>177</v>
      </c>
      <c r="B187" s="1" t="n">
        <f aca="false">$B$4</f>
        <v>1073.64324602428</v>
      </c>
      <c r="C187" s="1" t="n">
        <f aca="false">D186*$B$2/12</f>
        <v>574.077516849362</v>
      </c>
      <c r="D187" s="1" t="n">
        <f aca="false">D186+C187-B187</f>
        <v>137279.038314672</v>
      </c>
    </row>
    <row r="188" customFormat="false" ht="15" hidden="false" customHeight="false" outlineLevel="0" collapsed="false">
      <c r="A188" s="0" t="n">
        <v>178</v>
      </c>
      <c r="B188" s="1" t="n">
        <f aca="false">$B$4</f>
        <v>1073.64324602428</v>
      </c>
      <c r="C188" s="1" t="n">
        <f aca="false">D187*$B$2/12</f>
        <v>571.9959929778</v>
      </c>
      <c r="D188" s="1" t="n">
        <f aca="false">D187+C188-B188</f>
        <v>136777.391061626</v>
      </c>
    </row>
    <row r="189" customFormat="false" ht="15" hidden="false" customHeight="false" outlineLevel="0" collapsed="false">
      <c r="A189" s="0" t="n">
        <v>179</v>
      </c>
      <c r="B189" s="1" t="n">
        <f aca="false">$B$4</f>
        <v>1073.64324602428</v>
      </c>
      <c r="C189" s="1" t="n">
        <f aca="false">D188*$B$2/12</f>
        <v>569.905796090106</v>
      </c>
      <c r="D189" s="1" t="n">
        <f aca="false">D188+C189-B189</f>
        <v>136273.653611691</v>
      </c>
    </row>
    <row r="190" customFormat="false" ht="15" hidden="false" customHeight="false" outlineLevel="0" collapsed="false">
      <c r="A190" s="0" t="n">
        <v>180</v>
      </c>
      <c r="B190" s="1" t="n">
        <f aca="false">$B$4</f>
        <v>1073.64324602428</v>
      </c>
      <c r="C190" s="1" t="n">
        <f aca="false">D189*$B$2/12</f>
        <v>567.806890048714</v>
      </c>
      <c r="D190" s="1" t="n">
        <f aca="false">D189+C190-B190</f>
        <v>135767.817255716</v>
      </c>
    </row>
    <row r="191" customFormat="false" ht="15" hidden="false" customHeight="false" outlineLevel="0" collapsed="false">
      <c r="A191" s="0" t="n">
        <v>181</v>
      </c>
      <c r="B191" s="1" t="n">
        <f aca="false">$B$4</f>
        <v>1073.64324602428</v>
      </c>
      <c r="C191" s="1" t="n">
        <f aca="false">D190*$B$2/12</f>
        <v>565.699238565483</v>
      </c>
      <c r="D191" s="1" t="n">
        <f aca="false">D190+C191-B191</f>
        <v>135259.873248257</v>
      </c>
    </row>
    <row r="192" customFormat="false" ht="15" hidden="false" customHeight="false" outlineLevel="0" collapsed="false">
      <c r="A192" s="0" t="n">
        <v>182</v>
      </c>
      <c r="B192" s="1" t="n">
        <f aca="false">$B$4</f>
        <v>1073.64324602428</v>
      </c>
      <c r="C192" s="1" t="n">
        <f aca="false">D191*$B$2/12</f>
        <v>563.582805201071</v>
      </c>
      <c r="D192" s="1" t="n">
        <f aca="false">D191+C192-B192</f>
        <v>134749.812807434</v>
      </c>
    </row>
    <row r="193" customFormat="false" ht="15" hidden="false" customHeight="false" outlineLevel="0" collapsed="false">
      <c r="A193" s="0" t="n">
        <v>183</v>
      </c>
      <c r="B193" s="1" t="n">
        <f aca="false">$B$4</f>
        <v>1073.64324602428</v>
      </c>
      <c r="C193" s="1" t="n">
        <f aca="false">D192*$B$2/12</f>
        <v>561.457553364308</v>
      </c>
      <c r="D193" s="1" t="n">
        <f aca="false">D192+C193-B193</f>
        <v>134237.627114774</v>
      </c>
    </row>
    <row r="194" customFormat="false" ht="15" hidden="false" customHeight="false" outlineLevel="0" collapsed="false">
      <c r="A194" s="0" t="n">
        <v>184</v>
      </c>
      <c r="B194" s="1" t="n">
        <f aca="false">$B$4</f>
        <v>1073.64324602428</v>
      </c>
      <c r="C194" s="1" t="n">
        <f aca="false">D193*$B$2/12</f>
        <v>559.323446311558</v>
      </c>
      <c r="D194" s="1" t="n">
        <f aca="false">D193+C194-B194</f>
        <v>133723.307315061</v>
      </c>
    </row>
    <row r="195" customFormat="false" ht="15" hidden="false" customHeight="false" outlineLevel="0" collapsed="false">
      <c r="A195" s="0" t="n">
        <v>185</v>
      </c>
      <c r="B195" s="1" t="n">
        <f aca="false">$B$4</f>
        <v>1073.64324602428</v>
      </c>
      <c r="C195" s="1" t="n">
        <f aca="false">D194*$B$2/12</f>
        <v>557.180447146088</v>
      </c>
      <c r="D195" s="1" t="n">
        <f aca="false">D194+C195-B195</f>
        <v>133206.844516183</v>
      </c>
    </row>
    <row r="196" customFormat="false" ht="15" hidden="false" customHeight="false" outlineLevel="0" collapsed="false">
      <c r="A196" s="0" t="n">
        <v>186</v>
      </c>
      <c r="B196" s="1" t="n">
        <f aca="false">$B$4</f>
        <v>1073.64324602428</v>
      </c>
      <c r="C196" s="1" t="n">
        <f aca="false">D195*$B$2/12</f>
        <v>555.028518817429</v>
      </c>
      <c r="D196" s="1" t="n">
        <f aca="false">D195+C196-B196</f>
        <v>132688.229788976</v>
      </c>
    </row>
    <row r="197" customFormat="false" ht="15" hidden="false" customHeight="false" outlineLevel="0" collapsed="false">
      <c r="A197" s="0" t="n">
        <v>187</v>
      </c>
      <c r="B197" s="1" t="n">
        <f aca="false">$B$4</f>
        <v>1073.64324602428</v>
      </c>
      <c r="C197" s="1" t="n">
        <f aca="false">D196*$B$2/12</f>
        <v>552.867624120734</v>
      </c>
      <c r="D197" s="1" t="n">
        <f aca="false">D196+C197-B197</f>
        <v>132167.454167073</v>
      </c>
    </row>
    <row r="198" customFormat="false" ht="15" hidden="false" customHeight="false" outlineLevel="0" collapsed="false">
      <c r="A198" s="0" t="n">
        <v>188</v>
      </c>
      <c r="B198" s="1" t="n">
        <f aca="false">$B$4</f>
        <v>1073.64324602428</v>
      </c>
      <c r="C198" s="1" t="n">
        <f aca="false">D197*$B$2/12</f>
        <v>550.697725696136</v>
      </c>
      <c r="D198" s="1" t="n">
        <f aca="false">D197+C198-B198</f>
        <v>131644.508646745</v>
      </c>
    </row>
    <row r="199" customFormat="false" ht="15" hidden="false" customHeight="false" outlineLevel="0" collapsed="false">
      <c r="A199" s="0" t="n">
        <v>189</v>
      </c>
      <c r="B199" s="1" t="n">
        <f aca="false">$B$4</f>
        <v>1073.64324602428</v>
      </c>
      <c r="C199" s="1" t="n">
        <f aca="false">D198*$B$2/12</f>
        <v>548.518786028102</v>
      </c>
      <c r="D199" s="1" t="n">
        <f aca="false">D198+C199-B199</f>
        <v>131119.384186748</v>
      </c>
    </row>
    <row r="200" customFormat="false" ht="15" hidden="false" customHeight="false" outlineLevel="0" collapsed="false">
      <c r="A200" s="0" t="n">
        <v>190</v>
      </c>
      <c r="B200" s="1" t="n">
        <f aca="false">$B$4</f>
        <v>1073.64324602428</v>
      </c>
      <c r="C200" s="1" t="n">
        <f aca="false">D199*$B$2/12</f>
        <v>546.330767444785</v>
      </c>
      <c r="D200" s="1" t="n">
        <f aca="false">D199+C200-B200</f>
        <v>130592.071708169</v>
      </c>
    </row>
    <row r="201" customFormat="false" ht="15" hidden="false" customHeight="false" outlineLevel="0" collapsed="false">
      <c r="A201" s="0" t="n">
        <v>191</v>
      </c>
      <c r="B201" s="1" t="n">
        <f aca="false">$B$4</f>
        <v>1073.64324602428</v>
      </c>
      <c r="C201" s="1" t="n">
        <f aca="false">D200*$B$2/12</f>
        <v>544.13363211737</v>
      </c>
      <c r="D201" s="1" t="n">
        <f aca="false">D200+C201-B201</f>
        <v>130062.562094262</v>
      </c>
    </row>
    <row r="202" customFormat="false" ht="15" hidden="false" customHeight="false" outlineLevel="0" collapsed="false">
      <c r="A202" s="0" t="n">
        <v>192</v>
      </c>
      <c r="B202" s="1" t="n">
        <f aca="false">$B$4</f>
        <v>1073.64324602428</v>
      </c>
      <c r="C202" s="1" t="n">
        <f aca="false">D201*$B$2/12</f>
        <v>541.927342059425</v>
      </c>
      <c r="D202" s="1" t="n">
        <f aca="false">D201+C202-B202</f>
        <v>129530.846190297</v>
      </c>
    </row>
    <row r="203" customFormat="false" ht="15" hidden="false" customHeight="false" outlineLevel="0" collapsed="false">
      <c r="A203" s="0" t="n">
        <v>193</v>
      </c>
      <c r="B203" s="1" t="n">
        <f aca="false">$B$4</f>
        <v>1073.64324602428</v>
      </c>
      <c r="C203" s="1" t="n">
        <f aca="false">D202*$B$2/12</f>
        <v>539.711859126238</v>
      </c>
      <c r="D203" s="1" t="n">
        <f aca="false">D202+C203-B203</f>
        <v>128996.914803399</v>
      </c>
    </row>
    <row r="204" customFormat="false" ht="15" hidden="false" customHeight="false" outlineLevel="0" collapsed="false">
      <c r="A204" s="0" t="n">
        <v>194</v>
      </c>
      <c r="B204" s="1" t="n">
        <f aca="false">$B$4</f>
        <v>1073.64324602428</v>
      </c>
      <c r="C204" s="1" t="n">
        <f aca="false">D203*$B$2/12</f>
        <v>537.487145014163</v>
      </c>
      <c r="D204" s="1" t="n">
        <f aca="false">D203+C204-B204</f>
        <v>128460.758702389</v>
      </c>
    </row>
    <row r="205" customFormat="false" ht="15" hidden="false" customHeight="false" outlineLevel="0" collapsed="false">
      <c r="A205" s="0" t="n">
        <v>195</v>
      </c>
      <c r="B205" s="1" t="n">
        <f aca="false">$B$4</f>
        <v>1073.64324602428</v>
      </c>
      <c r="C205" s="1" t="n">
        <f aca="false">D204*$B$2/12</f>
        <v>535.253161259954</v>
      </c>
      <c r="D205" s="1" t="n">
        <f aca="false">D204+C205-B205</f>
        <v>127922.368617625</v>
      </c>
    </row>
    <row r="206" customFormat="false" ht="15" hidden="false" customHeight="false" outlineLevel="0" collapsed="false">
      <c r="A206" s="0" t="n">
        <v>196</v>
      </c>
      <c r="B206" s="1" t="n">
        <f aca="false">$B$4</f>
        <v>1073.64324602428</v>
      </c>
      <c r="C206" s="1" t="n">
        <f aca="false">D205*$B$2/12</f>
        <v>533.009869240103</v>
      </c>
      <c r="D206" s="1" t="n">
        <f aca="false">D205+C206-B206</f>
        <v>127381.73524084</v>
      </c>
    </row>
    <row r="207" customFormat="false" ht="15" hidden="false" customHeight="false" outlineLevel="0" collapsed="false">
      <c r="A207" s="0" t="n">
        <v>197</v>
      </c>
      <c r="B207" s="1" t="n">
        <f aca="false">$B$4</f>
        <v>1073.64324602428</v>
      </c>
      <c r="C207" s="1" t="n">
        <f aca="false">D206*$B$2/12</f>
        <v>530.757230170169</v>
      </c>
      <c r="D207" s="1" t="n">
        <f aca="false">D206+C207-B207</f>
        <v>126838.849224986</v>
      </c>
    </row>
    <row r="208" customFormat="false" ht="15" hidden="false" customHeight="false" outlineLevel="0" collapsed="false">
      <c r="A208" s="0" t="n">
        <v>198</v>
      </c>
      <c r="B208" s="1" t="n">
        <f aca="false">$B$4</f>
        <v>1073.64324602428</v>
      </c>
      <c r="C208" s="1" t="n">
        <f aca="false">D207*$B$2/12</f>
        <v>528.49520510411</v>
      </c>
      <c r="D208" s="1" t="n">
        <f aca="false">D207+C208-B208</f>
        <v>126293.701184066</v>
      </c>
    </row>
    <row r="209" customFormat="false" ht="15" hidden="false" customHeight="false" outlineLevel="0" collapsed="false">
      <c r="A209" s="0" t="n">
        <v>199</v>
      </c>
      <c r="B209" s="1" t="n">
        <f aca="false">$B$4</f>
        <v>1073.64324602428</v>
      </c>
      <c r="C209" s="1" t="n">
        <f aca="false">D208*$B$2/12</f>
        <v>526.223754933609</v>
      </c>
      <c r="D209" s="1" t="n">
        <f aca="false">D208+C209-B209</f>
        <v>125746.281692975</v>
      </c>
    </row>
    <row r="210" customFormat="false" ht="15" hidden="false" customHeight="false" outlineLevel="0" collapsed="false">
      <c r="A210" s="0" t="n">
        <v>200</v>
      </c>
      <c r="B210" s="1" t="n">
        <f aca="false">$B$4</f>
        <v>1073.64324602428</v>
      </c>
      <c r="C210" s="1" t="n">
        <f aca="false">D209*$B$2/12</f>
        <v>523.942840387398</v>
      </c>
      <c r="D210" s="1" t="n">
        <f aca="false">D209+C210-B210</f>
        <v>125196.581287339</v>
      </c>
    </row>
    <row r="211" customFormat="false" ht="15" hidden="false" customHeight="false" outlineLevel="0" collapsed="false">
      <c r="A211" s="0" t="n">
        <v>201</v>
      </c>
      <c r="B211" s="1" t="n">
        <f aca="false">$B$4</f>
        <v>1073.64324602428</v>
      </c>
      <c r="C211" s="1" t="n">
        <f aca="false">D210*$B$2/12</f>
        <v>521.652422030578</v>
      </c>
      <c r="D211" s="1" t="n">
        <f aca="false">D210+C211-B211</f>
        <v>124644.590463345</v>
      </c>
    </row>
    <row r="212" customFormat="false" ht="15" hidden="false" customHeight="false" outlineLevel="0" collapsed="false">
      <c r="A212" s="0" t="n">
        <v>202</v>
      </c>
      <c r="B212" s="1" t="n">
        <f aca="false">$B$4</f>
        <v>1073.64324602428</v>
      </c>
      <c r="C212" s="1" t="n">
        <f aca="false">D211*$B$2/12</f>
        <v>519.352460263937</v>
      </c>
      <c r="D212" s="1" t="n">
        <f aca="false">D211+C212-B212</f>
        <v>124090.299677585</v>
      </c>
    </row>
    <row r="213" customFormat="false" ht="15" hidden="false" customHeight="false" outlineLevel="0" collapsed="false">
      <c r="A213" s="0" t="n">
        <v>203</v>
      </c>
      <c r="B213" s="1" t="n">
        <f aca="false">$B$4</f>
        <v>1073.64324602428</v>
      </c>
      <c r="C213" s="1" t="n">
        <f aca="false">D212*$B$2/12</f>
        <v>517.042915323269</v>
      </c>
      <c r="D213" s="1" t="n">
        <f aca="false">D212+C213-B213</f>
        <v>123533.699346884</v>
      </c>
    </row>
    <row r="214" customFormat="false" ht="15" hidden="false" customHeight="false" outlineLevel="0" collapsed="false">
      <c r="A214" s="0" t="n">
        <v>204</v>
      </c>
      <c r="B214" s="1" t="n">
        <f aca="false">$B$4</f>
        <v>1073.64324602428</v>
      </c>
      <c r="C214" s="1" t="n">
        <f aca="false">D213*$B$2/12</f>
        <v>514.723747278682</v>
      </c>
      <c r="D214" s="1" t="n">
        <f aca="false">D213+C214-B214</f>
        <v>122974.779848138</v>
      </c>
    </row>
    <row r="215" customFormat="false" ht="15" hidden="false" customHeight="false" outlineLevel="0" collapsed="false">
      <c r="A215" s="0" t="n">
        <v>205</v>
      </c>
      <c r="B215" s="1" t="n">
        <f aca="false">$B$4</f>
        <v>1073.64324602428</v>
      </c>
      <c r="C215" s="1" t="n">
        <f aca="false">D214*$B$2/12</f>
        <v>512.394916033908</v>
      </c>
      <c r="D215" s="1" t="n">
        <f aca="false">D214+C215-B215</f>
        <v>122413.531518148</v>
      </c>
    </row>
    <row r="216" customFormat="false" ht="15" hidden="false" customHeight="false" outlineLevel="0" collapsed="false">
      <c r="A216" s="0" t="n">
        <v>206</v>
      </c>
      <c r="B216" s="1" t="n">
        <f aca="false">$B$4</f>
        <v>1073.64324602428</v>
      </c>
      <c r="C216" s="1" t="n">
        <f aca="false">D215*$B$2/12</f>
        <v>510.056381325615</v>
      </c>
      <c r="D216" s="1" t="n">
        <f aca="false">D215+C216-B216</f>
        <v>121849.944653449</v>
      </c>
    </row>
    <row r="217" customFormat="false" ht="15" hidden="false" customHeight="false" outlineLevel="0" collapsed="false">
      <c r="A217" s="0" t="n">
        <v>207</v>
      </c>
      <c r="B217" s="1" t="n">
        <f aca="false">$B$4</f>
        <v>1073.64324602428</v>
      </c>
      <c r="C217" s="1" t="n">
        <f aca="false">D216*$B$2/12</f>
        <v>507.708102722704</v>
      </c>
      <c r="D217" s="1" t="n">
        <f aca="false">D216+C217-B217</f>
        <v>121284.009510147</v>
      </c>
    </row>
    <row r="218" customFormat="false" ht="15" hidden="false" customHeight="false" outlineLevel="0" collapsed="false">
      <c r="A218" s="0" t="n">
        <v>208</v>
      </c>
      <c r="B218" s="1" t="n">
        <f aca="false">$B$4</f>
        <v>1073.64324602428</v>
      </c>
      <c r="C218" s="1" t="n">
        <f aca="false">D217*$B$2/12</f>
        <v>505.350039625614</v>
      </c>
      <c r="D218" s="1" t="n">
        <f aca="false">D217+C218-B218</f>
        <v>120715.716303749</v>
      </c>
    </row>
    <row r="219" customFormat="false" ht="15" hidden="false" customHeight="false" outlineLevel="0" collapsed="false">
      <c r="A219" s="0" t="n">
        <v>209</v>
      </c>
      <c r="B219" s="1" t="n">
        <f aca="false">$B$4</f>
        <v>1073.64324602428</v>
      </c>
      <c r="C219" s="1" t="n">
        <f aca="false">D218*$B$2/12</f>
        <v>502.98215126562</v>
      </c>
      <c r="D219" s="1" t="n">
        <f aca="false">D218+C219-B219</f>
        <v>120145.05520899</v>
      </c>
    </row>
    <row r="220" customFormat="false" ht="15" hidden="false" customHeight="false" outlineLevel="0" collapsed="false">
      <c r="A220" s="0" t="n">
        <v>210</v>
      </c>
      <c r="B220" s="1" t="n">
        <f aca="false">$B$4</f>
        <v>1073.64324602428</v>
      </c>
      <c r="C220" s="1" t="n">
        <f aca="false">D219*$B$2/12</f>
        <v>500.604396704125</v>
      </c>
      <c r="D220" s="1" t="n">
        <f aca="false">D219+C220-B220</f>
        <v>119572.01635967</v>
      </c>
    </row>
    <row r="221" customFormat="false" ht="15" hidden="false" customHeight="false" outlineLevel="0" collapsed="false">
      <c r="A221" s="0" t="n">
        <v>211</v>
      </c>
      <c r="B221" s="1" t="n">
        <f aca="false">$B$4</f>
        <v>1073.64324602428</v>
      </c>
      <c r="C221" s="1" t="n">
        <f aca="false">D220*$B$2/12</f>
        <v>498.216734831958</v>
      </c>
      <c r="D221" s="1" t="n">
        <f aca="false">D220+C221-B221</f>
        <v>118996.589848478</v>
      </c>
    </row>
    <row r="222" customFormat="false" ht="15" hidden="false" customHeight="false" outlineLevel="0" collapsed="false">
      <c r="A222" s="0" t="n">
        <v>212</v>
      </c>
      <c r="B222" s="1" t="n">
        <f aca="false">$B$4</f>
        <v>1073.64324602428</v>
      </c>
      <c r="C222" s="1" t="n">
        <f aca="false">D221*$B$2/12</f>
        <v>495.819124368657</v>
      </c>
      <c r="D222" s="1" t="n">
        <f aca="false">D221+C222-B222</f>
        <v>118418.765726822</v>
      </c>
    </row>
    <row r="223" customFormat="false" ht="15" hidden="false" customHeight="false" outlineLevel="0" collapsed="false">
      <c r="A223" s="0" t="n">
        <v>213</v>
      </c>
      <c r="B223" s="1" t="n">
        <f aca="false">$B$4</f>
        <v>1073.64324602428</v>
      </c>
      <c r="C223" s="1" t="n">
        <f aca="false">D222*$B$2/12</f>
        <v>493.411523861758</v>
      </c>
      <c r="D223" s="1" t="n">
        <f aca="false">D222+C223-B223</f>
        <v>117838.534004659</v>
      </c>
    </row>
    <row r="224" customFormat="false" ht="15" hidden="false" customHeight="false" outlineLevel="0" collapsed="false">
      <c r="A224" s="0" t="n">
        <v>214</v>
      </c>
      <c r="B224" s="1" t="n">
        <f aca="false">$B$4</f>
        <v>1073.64324602428</v>
      </c>
      <c r="C224" s="1" t="n">
        <f aca="false">D223*$B$2/12</f>
        <v>490.993891686081</v>
      </c>
      <c r="D224" s="1" t="n">
        <f aca="false">D223+C224-B224</f>
        <v>117255.884650321</v>
      </c>
    </row>
    <row r="225" customFormat="false" ht="15" hidden="false" customHeight="false" outlineLevel="0" collapsed="false">
      <c r="A225" s="0" t="n">
        <v>215</v>
      </c>
      <c r="B225" s="1" t="n">
        <f aca="false">$B$4</f>
        <v>1073.64324602428</v>
      </c>
      <c r="C225" s="1" t="n">
        <f aca="false">D224*$B$2/12</f>
        <v>488.566186043005</v>
      </c>
      <c r="D225" s="1" t="n">
        <f aca="false">D224+C225-B225</f>
        <v>116670.80759034</v>
      </c>
    </row>
    <row r="226" customFormat="false" ht="15" hidden="false" customHeight="false" outlineLevel="0" collapsed="false">
      <c r="A226" s="0" t="n">
        <v>216</v>
      </c>
      <c r="B226" s="1" t="n">
        <f aca="false">$B$4</f>
        <v>1073.64324602428</v>
      </c>
      <c r="C226" s="1" t="n">
        <f aca="false">D225*$B$2/12</f>
        <v>486.12836495975</v>
      </c>
      <c r="D226" s="1" t="n">
        <f aca="false">D225+C226-B226</f>
        <v>116083.292709275</v>
      </c>
    </row>
    <row r="227" customFormat="false" ht="15" hidden="false" customHeight="false" outlineLevel="0" collapsed="false">
      <c r="A227" s="0" t="n">
        <v>217</v>
      </c>
      <c r="B227" s="1" t="n">
        <f aca="false">$B$4</f>
        <v>1073.64324602428</v>
      </c>
      <c r="C227" s="1" t="n">
        <f aca="false">D226*$B$2/12</f>
        <v>483.680386288648</v>
      </c>
      <c r="D227" s="1" t="n">
        <f aca="false">D226+C227-B227</f>
        <v>115493.32984954</v>
      </c>
    </row>
    <row r="228" customFormat="false" ht="15" hidden="false" customHeight="false" outlineLevel="0" collapsed="false">
      <c r="A228" s="0" t="n">
        <v>218</v>
      </c>
      <c r="B228" s="1" t="n">
        <f aca="false">$B$4</f>
        <v>1073.64324602428</v>
      </c>
      <c r="C228" s="1" t="n">
        <f aca="false">D227*$B$2/12</f>
        <v>481.222207706416</v>
      </c>
      <c r="D228" s="1" t="n">
        <f aca="false">D227+C228-B228</f>
        <v>114900.908811222</v>
      </c>
    </row>
    <row r="229" customFormat="false" ht="15" hidden="false" customHeight="false" outlineLevel="0" collapsed="false">
      <c r="A229" s="0" t="n">
        <v>219</v>
      </c>
      <c r="B229" s="1" t="n">
        <f aca="false">$B$4</f>
        <v>1073.64324602428</v>
      </c>
      <c r="C229" s="1" t="n">
        <f aca="false">D228*$B$2/12</f>
        <v>478.753786713425</v>
      </c>
      <c r="D229" s="1" t="n">
        <f aca="false">D228+C229-B229</f>
        <v>114306.019351911</v>
      </c>
    </row>
    <row r="230" customFormat="false" ht="15" hidden="false" customHeight="false" outlineLevel="0" collapsed="false">
      <c r="A230" s="0" t="n">
        <v>220</v>
      </c>
      <c r="B230" s="1" t="n">
        <f aca="false">$B$4</f>
        <v>1073.64324602428</v>
      </c>
      <c r="C230" s="1" t="n">
        <f aca="false">D229*$B$2/12</f>
        <v>476.275080632963</v>
      </c>
      <c r="D230" s="1" t="n">
        <f aca="false">D229+C230-B230</f>
        <v>113708.65118652</v>
      </c>
    </row>
    <row r="231" customFormat="false" ht="15" hidden="false" customHeight="false" outlineLevel="0" collapsed="false">
      <c r="A231" s="0" t="n">
        <v>221</v>
      </c>
      <c r="B231" s="1" t="n">
        <f aca="false">$B$4</f>
        <v>1073.64324602428</v>
      </c>
      <c r="C231" s="1" t="n">
        <f aca="false">D230*$B$2/12</f>
        <v>473.786046610499</v>
      </c>
      <c r="D231" s="1" t="n">
        <f aca="false">D230+C231-B231</f>
        <v>113108.793987106</v>
      </c>
    </row>
    <row r="232" customFormat="false" ht="15" hidden="false" customHeight="false" outlineLevel="0" collapsed="false">
      <c r="A232" s="0" t="n">
        <v>222</v>
      </c>
      <c r="B232" s="1" t="n">
        <f aca="false">$B$4</f>
        <v>1073.64324602428</v>
      </c>
      <c r="C232" s="1" t="n">
        <f aca="false">D231*$B$2/12</f>
        <v>471.286641612942</v>
      </c>
      <c r="D232" s="1" t="n">
        <f aca="false">D231+C232-B232</f>
        <v>112506.437382695</v>
      </c>
    </row>
    <row r="233" customFormat="false" ht="15" hidden="false" customHeight="false" outlineLevel="0" collapsed="false">
      <c r="A233" s="0" t="n">
        <v>223</v>
      </c>
      <c r="B233" s="1" t="n">
        <f aca="false">$B$4</f>
        <v>1073.64324602428</v>
      </c>
      <c r="C233" s="1" t="n">
        <f aca="false">D232*$B$2/12</f>
        <v>468.776822427894</v>
      </c>
      <c r="D233" s="1" t="n">
        <f aca="false">D232+C233-B233</f>
        <v>111901.570959098</v>
      </c>
    </row>
    <row r="234" customFormat="false" ht="15" hidden="false" customHeight="false" outlineLevel="0" collapsed="false">
      <c r="A234" s="0" t="n">
        <v>224</v>
      </c>
      <c r="B234" s="1" t="n">
        <f aca="false">$B$4</f>
        <v>1073.64324602428</v>
      </c>
      <c r="C234" s="1" t="n">
        <f aca="false">D233*$B$2/12</f>
        <v>466.256545662909</v>
      </c>
      <c r="D234" s="1" t="n">
        <f aca="false">D233+C234-B234</f>
        <v>111294.184258737</v>
      </c>
    </row>
    <row r="235" customFormat="false" ht="15" hidden="false" customHeight="false" outlineLevel="0" collapsed="false">
      <c r="A235" s="0" t="n">
        <v>225</v>
      </c>
      <c r="B235" s="1" t="n">
        <f aca="false">$B$4</f>
        <v>1073.64324602428</v>
      </c>
      <c r="C235" s="1" t="n">
        <f aca="false">D234*$B$2/12</f>
        <v>463.725767744737</v>
      </c>
      <c r="D235" s="1" t="n">
        <f aca="false">D234+C235-B235</f>
        <v>110684.266780457</v>
      </c>
    </row>
    <row r="236" customFormat="false" ht="15" hidden="false" customHeight="false" outlineLevel="0" collapsed="false">
      <c r="A236" s="0" t="n">
        <v>226</v>
      </c>
      <c r="B236" s="1" t="n">
        <f aca="false">$B$4</f>
        <v>1073.64324602428</v>
      </c>
      <c r="C236" s="1" t="n">
        <f aca="false">D235*$B$2/12</f>
        <v>461.184444918572</v>
      </c>
      <c r="D236" s="1" t="n">
        <f aca="false">D235+C236-B236</f>
        <v>110071.807979352</v>
      </c>
    </row>
    <row r="237" customFormat="false" ht="15" hidden="false" customHeight="false" outlineLevel="0" collapsed="false">
      <c r="A237" s="0" t="n">
        <v>227</v>
      </c>
      <c r="B237" s="1" t="n">
        <f aca="false">$B$4</f>
        <v>1073.64324602428</v>
      </c>
      <c r="C237" s="1" t="n">
        <f aca="false">D236*$B$2/12</f>
        <v>458.632533247298</v>
      </c>
      <c r="D237" s="1" t="n">
        <f aca="false">D236+C237-B237</f>
        <v>109456.797266575</v>
      </c>
    </row>
    <row r="238" customFormat="false" ht="15" hidden="false" customHeight="false" outlineLevel="0" collapsed="false">
      <c r="A238" s="0" t="n">
        <v>228</v>
      </c>
      <c r="B238" s="1" t="n">
        <f aca="false">$B$4</f>
        <v>1073.64324602428</v>
      </c>
      <c r="C238" s="1" t="n">
        <f aca="false">D237*$B$2/12</f>
        <v>456.069988610728</v>
      </c>
      <c r="D238" s="1" t="n">
        <f aca="false">D237+C238-B238</f>
        <v>108839.224009161</v>
      </c>
    </row>
    <row r="239" customFormat="false" ht="15" hidden="false" customHeight="false" outlineLevel="0" collapsed="false">
      <c r="A239" s="0" t="n">
        <v>229</v>
      </c>
      <c r="B239" s="1" t="n">
        <f aca="false">$B$4</f>
        <v>1073.64324602428</v>
      </c>
      <c r="C239" s="1" t="n">
        <f aca="false">D238*$B$2/12</f>
        <v>453.496766704838</v>
      </c>
      <c r="D239" s="1" t="n">
        <f aca="false">D238+C239-B239</f>
        <v>108219.077529842</v>
      </c>
    </row>
    <row r="240" customFormat="false" ht="15" hidden="false" customHeight="false" outlineLevel="0" collapsed="false">
      <c r="A240" s="0" t="n">
        <v>230</v>
      </c>
      <c r="B240" s="1" t="n">
        <f aca="false">$B$4</f>
        <v>1073.64324602428</v>
      </c>
      <c r="C240" s="1" t="n">
        <f aca="false">D239*$B$2/12</f>
        <v>450.912823041007</v>
      </c>
      <c r="D240" s="1" t="n">
        <f aca="false">D239+C240-B240</f>
        <v>107596.347106858</v>
      </c>
    </row>
    <row r="241" customFormat="false" ht="15" hidden="false" customHeight="false" outlineLevel="0" collapsed="false">
      <c r="A241" s="0" t="n">
        <v>231</v>
      </c>
      <c r="B241" s="1" t="n">
        <f aca="false">$B$4</f>
        <v>1073.64324602428</v>
      </c>
      <c r="C241" s="1" t="n">
        <f aca="false">D240*$B$2/12</f>
        <v>448.318112945243</v>
      </c>
      <c r="D241" s="1" t="n">
        <f aca="false">D240+C241-B241</f>
        <v>106971.021973779</v>
      </c>
    </row>
    <row r="242" customFormat="false" ht="15" hidden="false" customHeight="false" outlineLevel="0" collapsed="false">
      <c r="A242" s="0" t="n">
        <v>232</v>
      </c>
      <c r="B242" s="1" t="n">
        <f aca="false">$B$4</f>
        <v>1073.64324602428</v>
      </c>
      <c r="C242" s="1" t="n">
        <f aca="false">D241*$B$2/12</f>
        <v>445.712591557414</v>
      </c>
      <c r="D242" s="1" t="n">
        <f aca="false">D241+C242-B242</f>
        <v>106343.091319312</v>
      </c>
    </row>
    <row r="243" customFormat="false" ht="15" hidden="false" customHeight="false" outlineLevel="0" collapsed="false">
      <c r="A243" s="0" t="n">
        <v>233</v>
      </c>
      <c r="B243" s="1" t="n">
        <f aca="false">$B$4</f>
        <v>1073.64324602428</v>
      </c>
      <c r="C243" s="1" t="n">
        <f aca="false">D242*$B$2/12</f>
        <v>443.096213830469</v>
      </c>
      <c r="D243" s="1" t="n">
        <f aca="false">D242+C243-B243</f>
        <v>105712.544287119</v>
      </c>
    </row>
    <row r="244" customFormat="false" ht="15" hidden="false" customHeight="false" outlineLevel="0" collapsed="false">
      <c r="A244" s="0" t="n">
        <v>234</v>
      </c>
      <c r="B244" s="1" t="n">
        <f aca="false">$B$4</f>
        <v>1073.64324602428</v>
      </c>
      <c r="C244" s="1" t="n">
        <f aca="false">D243*$B$2/12</f>
        <v>440.468934529661</v>
      </c>
      <c r="D244" s="1" t="n">
        <f aca="false">D243+C244-B244</f>
        <v>105079.369975624</v>
      </c>
    </row>
    <row r="245" customFormat="false" ht="15" hidden="false" customHeight="false" outlineLevel="0" collapsed="false">
      <c r="A245" s="0" t="n">
        <v>235</v>
      </c>
      <c r="B245" s="1" t="n">
        <f aca="false">$B$4</f>
        <v>1073.64324602428</v>
      </c>
      <c r="C245" s="1" t="n">
        <f aca="false">D244*$B$2/12</f>
        <v>437.830708231767</v>
      </c>
      <c r="D245" s="1" t="n">
        <f aca="false">D244+C245-B245</f>
        <v>104443.557437832</v>
      </c>
    </row>
    <row r="246" customFormat="false" ht="15" hidden="false" customHeight="false" outlineLevel="0" collapsed="false">
      <c r="A246" s="0" t="n">
        <v>236</v>
      </c>
      <c r="B246" s="1" t="n">
        <f aca="false">$B$4</f>
        <v>1073.64324602428</v>
      </c>
      <c r="C246" s="1" t="n">
        <f aca="false">D245*$B$2/12</f>
        <v>435.181489324298</v>
      </c>
      <c r="D246" s="1" t="n">
        <f aca="false">D245+C246-B246</f>
        <v>103805.095681132</v>
      </c>
    </row>
    <row r="247" customFormat="false" ht="15" hidden="false" customHeight="false" outlineLevel="0" collapsed="false">
      <c r="A247" s="0" t="n">
        <v>237</v>
      </c>
      <c r="B247" s="1" t="n">
        <f aca="false">$B$4</f>
        <v>1073.64324602428</v>
      </c>
      <c r="C247" s="1" t="n">
        <f aca="false">D246*$B$2/12</f>
        <v>432.521232004715</v>
      </c>
      <c r="D247" s="1" t="n">
        <f aca="false">D246+C247-B247</f>
        <v>103163.973667112</v>
      </c>
    </row>
    <row r="248" customFormat="false" ht="15" hidden="false" customHeight="false" outlineLevel="0" collapsed="false">
      <c r="A248" s="0" t="n">
        <v>238</v>
      </c>
      <c r="B248" s="1" t="n">
        <f aca="false">$B$4</f>
        <v>1073.64324602428</v>
      </c>
      <c r="C248" s="1" t="n">
        <f aca="false">D247*$B$2/12</f>
        <v>429.849890279633</v>
      </c>
      <c r="D248" s="1" t="n">
        <f aca="false">D247+C248-B248</f>
        <v>102520.180311367</v>
      </c>
    </row>
    <row r="249" customFormat="false" ht="15" hidden="false" customHeight="false" outlineLevel="0" collapsed="false">
      <c r="A249" s="0" t="n">
        <v>239</v>
      </c>
      <c r="B249" s="1" t="n">
        <f aca="false">$B$4</f>
        <v>1073.64324602428</v>
      </c>
      <c r="C249" s="1" t="n">
        <f aca="false">D248*$B$2/12</f>
        <v>427.167417964031</v>
      </c>
      <c r="D249" s="1" t="n">
        <f aca="false">D248+C249-B249</f>
        <v>101873.704483307</v>
      </c>
    </row>
    <row r="250" customFormat="false" ht="15" hidden="false" customHeight="false" outlineLevel="0" collapsed="false">
      <c r="A250" s="0" t="n">
        <v>240</v>
      </c>
      <c r="B250" s="1" t="n">
        <f aca="false">$B$4</f>
        <v>1073.64324602428</v>
      </c>
      <c r="C250" s="1" t="n">
        <f aca="false">D249*$B$2/12</f>
        <v>424.473768680446</v>
      </c>
      <c r="D250" s="1" t="n">
        <f aca="false">D249+C250-B250</f>
        <v>101224.535005963</v>
      </c>
    </row>
    <row r="251" customFormat="false" ht="15" hidden="false" customHeight="false" outlineLevel="0" collapsed="false">
      <c r="A251" s="0" t="n">
        <v>241</v>
      </c>
      <c r="B251" s="1" t="n">
        <f aca="false">$B$4</f>
        <v>1073.64324602428</v>
      </c>
      <c r="C251" s="1" t="n">
        <f aca="false">D250*$B$2/12</f>
        <v>421.76889585818</v>
      </c>
      <c r="D251" s="1" t="n">
        <f aca="false">D250+C251-B251</f>
        <v>100572.660655797</v>
      </c>
    </row>
    <row r="252" customFormat="false" ht="15" hidden="false" customHeight="false" outlineLevel="0" collapsed="false">
      <c r="A252" s="0" t="n">
        <v>242</v>
      </c>
      <c r="B252" s="1" t="n">
        <f aca="false">$B$4</f>
        <v>1073.64324602428</v>
      </c>
      <c r="C252" s="1" t="n">
        <f aca="false">D251*$B$2/12</f>
        <v>419.052752732488</v>
      </c>
      <c r="D252" s="1" t="n">
        <f aca="false">D251+C252-B252</f>
        <v>99918.0701625054</v>
      </c>
    </row>
    <row r="253" customFormat="false" ht="15" hidden="false" customHeight="false" outlineLevel="0" collapsed="false">
      <c r="A253" s="0" t="n">
        <v>243</v>
      </c>
      <c r="B253" s="1" t="n">
        <f aca="false">$B$4</f>
        <v>1073.64324602428</v>
      </c>
      <c r="C253" s="1" t="n">
        <f aca="false">D252*$B$2/12</f>
        <v>416.325292343772</v>
      </c>
      <c r="D253" s="1" t="n">
        <f aca="false">D252+C253-B253</f>
        <v>99260.7522088249</v>
      </c>
    </row>
    <row r="254" customFormat="false" ht="15" hidden="false" customHeight="false" outlineLevel="0" collapsed="false">
      <c r="A254" s="0" t="n">
        <v>244</v>
      </c>
      <c r="B254" s="1" t="n">
        <f aca="false">$B$4</f>
        <v>1073.64324602428</v>
      </c>
      <c r="C254" s="1" t="n">
        <f aca="false">D253*$B$2/12</f>
        <v>413.58646753677</v>
      </c>
      <c r="D254" s="1" t="n">
        <f aca="false">D253+C254-B254</f>
        <v>98600.6954303374</v>
      </c>
    </row>
    <row r="255" customFormat="false" ht="15" hidden="false" customHeight="false" outlineLevel="0" collapsed="false">
      <c r="A255" s="0" t="n">
        <v>245</v>
      </c>
      <c r="B255" s="1" t="n">
        <f aca="false">$B$4</f>
        <v>1073.64324602428</v>
      </c>
      <c r="C255" s="1" t="n">
        <f aca="false">D254*$B$2/12</f>
        <v>410.836230959739</v>
      </c>
      <c r="D255" s="1" t="n">
        <f aca="false">D254+C255-B255</f>
        <v>97937.8884152728</v>
      </c>
    </row>
    <row r="256" customFormat="false" ht="15" hidden="false" customHeight="false" outlineLevel="0" collapsed="false">
      <c r="A256" s="0" t="n">
        <v>246</v>
      </c>
      <c r="B256" s="1" t="n">
        <f aca="false">$B$4</f>
        <v>1073.64324602428</v>
      </c>
      <c r="C256" s="1" t="n">
        <f aca="false">D255*$B$2/12</f>
        <v>408.074535063637</v>
      </c>
      <c r="D256" s="1" t="n">
        <f aca="false">D255+C256-B256</f>
        <v>97272.3197043122</v>
      </c>
    </row>
    <row r="257" customFormat="false" ht="15" hidden="false" customHeight="false" outlineLevel="0" collapsed="false">
      <c r="A257" s="0" t="n">
        <v>247</v>
      </c>
      <c r="B257" s="1" t="n">
        <f aca="false">$B$4</f>
        <v>1073.64324602428</v>
      </c>
      <c r="C257" s="1" t="n">
        <f aca="false">D256*$B$2/12</f>
        <v>405.301332101301</v>
      </c>
      <c r="D257" s="1" t="n">
        <f aca="false">D256+C257-B257</f>
        <v>96603.9777903892</v>
      </c>
    </row>
    <row r="258" customFormat="false" ht="15" hidden="false" customHeight="false" outlineLevel="0" collapsed="false">
      <c r="A258" s="0" t="n">
        <v>248</v>
      </c>
      <c r="B258" s="1" t="n">
        <f aca="false">$B$4</f>
        <v>1073.64324602428</v>
      </c>
      <c r="C258" s="1" t="n">
        <f aca="false">D257*$B$2/12</f>
        <v>402.516574126622</v>
      </c>
      <c r="D258" s="1" t="n">
        <f aca="false">D257+C258-B258</f>
        <v>95932.8511184915</v>
      </c>
    </row>
    <row r="259" customFormat="false" ht="15" hidden="false" customHeight="false" outlineLevel="0" collapsed="false">
      <c r="A259" s="0" t="n">
        <v>249</v>
      </c>
      <c r="B259" s="1" t="n">
        <f aca="false">$B$4</f>
        <v>1073.64324602428</v>
      </c>
      <c r="C259" s="1" t="n">
        <f aca="false">D258*$B$2/12</f>
        <v>399.720212993715</v>
      </c>
      <c r="D259" s="1" t="n">
        <f aca="false">D258+C259-B259</f>
        <v>95258.928085461</v>
      </c>
    </row>
    <row r="260" customFormat="false" ht="15" hidden="false" customHeight="false" outlineLevel="0" collapsed="false">
      <c r="A260" s="0" t="n">
        <v>250</v>
      </c>
      <c r="B260" s="1" t="n">
        <f aca="false">$B$4</f>
        <v>1073.64324602428</v>
      </c>
      <c r="C260" s="1" t="n">
        <f aca="false">D259*$B$2/12</f>
        <v>396.912200356087</v>
      </c>
      <c r="D260" s="1" t="n">
        <f aca="false">D259+C260-B260</f>
        <v>94582.1970397928</v>
      </c>
    </row>
    <row r="261" customFormat="false" ht="15" hidden="false" customHeight="false" outlineLevel="0" collapsed="false">
      <c r="A261" s="0" t="n">
        <v>251</v>
      </c>
      <c r="B261" s="1" t="n">
        <f aca="false">$B$4</f>
        <v>1073.64324602428</v>
      </c>
      <c r="C261" s="1" t="n">
        <f aca="false">D260*$B$2/12</f>
        <v>394.092487665803</v>
      </c>
      <c r="D261" s="1" t="n">
        <f aca="false">D260+C261-B261</f>
        <v>93902.6462814343</v>
      </c>
    </row>
    <row r="262" customFormat="false" ht="15" hidden="false" customHeight="false" outlineLevel="0" collapsed="false">
      <c r="A262" s="0" t="n">
        <v>252</v>
      </c>
      <c r="B262" s="1" t="n">
        <f aca="false">$B$4</f>
        <v>1073.64324602428</v>
      </c>
      <c r="C262" s="1" t="n">
        <f aca="false">D261*$B$2/12</f>
        <v>391.261026172643</v>
      </c>
      <c r="D262" s="1" t="n">
        <f aca="false">D261+C262-B262</f>
        <v>93220.2640615827</v>
      </c>
    </row>
    <row r="263" customFormat="false" ht="15" hidden="false" customHeight="false" outlineLevel="0" collapsed="false">
      <c r="A263" s="0" t="n">
        <v>253</v>
      </c>
      <c r="B263" s="1" t="n">
        <f aca="false">$B$4</f>
        <v>1073.64324602428</v>
      </c>
      <c r="C263" s="1" t="n">
        <f aca="false">D262*$B$2/12</f>
        <v>388.417766923261</v>
      </c>
      <c r="D263" s="1" t="n">
        <f aca="false">D262+C263-B263</f>
        <v>92535.0385824817</v>
      </c>
    </row>
    <row r="264" customFormat="false" ht="15" hidden="false" customHeight="false" outlineLevel="0" collapsed="false">
      <c r="A264" s="0" t="n">
        <v>254</v>
      </c>
      <c r="B264" s="1" t="n">
        <f aca="false">$B$4</f>
        <v>1073.64324602428</v>
      </c>
      <c r="C264" s="1" t="n">
        <f aca="false">D263*$B$2/12</f>
        <v>385.56266076034</v>
      </c>
      <c r="D264" s="1" t="n">
        <f aca="false">D263+C264-B264</f>
        <v>91846.9579972177</v>
      </c>
    </row>
    <row r="265" customFormat="false" ht="15" hidden="false" customHeight="false" outlineLevel="0" collapsed="false">
      <c r="A265" s="0" t="n">
        <v>255</v>
      </c>
      <c r="B265" s="1" t="n">
        <f aca="false">$B$4</f>
        <v>1073.64324602428</v>
      </c>
      <c r="C265" s="1" t="n">
        <f aca="false">D264*$B$2/12</f>
        <v>382.695658321741</v>
      </c>
      <c r="D265" s="1" t="n">
        <f aca="false">D264+C265-B265</f>
        <v>91156.0104095152</v>
      </c>
    </row>
    <row r="266" customFormat="false" ht="15" hidden="false" customHeight="false" outlineLevel="0" collapsed="false">
      <c r="A266" s="0" t="n">
        <v>256</v>
      </c>
      <c r="B266" s="1" t="n">
        <f aca="false">$B$4</f>
        <v>1073.64324602428</v>
      </c>
      <c r="C266" s="1" t="n">
        <f aca="false">D265*$B$2/12</f>
        <v>379.816710039647</v>
      </c>
      <c r="D266" s="1" t="n">
        <f aca="false">D265+C266-B266</f>
        <v>90462.1838735306</v>
      </c>
    </row>
    <row r="267" customFormat="false" ht="15" hidden="false" customHeight="false" outlineLevel="0" collapsed="false">
      <c r="A267" s="0" t="n">
        <v>257</v>
      </c>
      <c r="B267" s="1" t="n">
        <f aca="false">$B$4</f>
        <v>1073.64324602428</v>
      </c>
      <c r="C267" s="1" t="n">
        <f aca="false">D266*$B$2/12</f>
        <v>376.925766139711</v>
      </c>
      <c r="D267" s="1" t="n">
        <f aca="false">D266+C267-B267</f>
        <v>89765.466393646</v>
      </c>
    </row>
    <row r="268" customFormat="false" ht="15" hidden="false" customHeight="false" outlineLevel="0" collapsed="false">
      <c r="A268" s="0" t="n">
        <v>258</v>
      </c>
      <c r="B268" s="1" t="n">
        <f aca="false">$B$4</f>
        <v>1073.64324602428</v>
      </c>
      <c r="C268" s="1" t="n">
        <f aca="false">D267*$B$2/12</f>
        <v>374.022776640192</v>
      </c>
      <c r="D268" s="1" t="n">
        <f aca="false">D267+C268-B268</f>
        <v>89065.8459242619</v>
      </c>
    </row>
    <row r="269" customFormat="false" ht="15" hidden="false" customHeight="false" outlineLevel="0" collapsed="false">
      <c r="A269" s="0" t="n">
        <v>259</v>
      </c>
      <c r="B269" s="1" t="n">
        <f aca="false">$B$4</f>
        <v>1073.64324602428</v>
      </c>
      <c r="C269" s="1" t="n">
        <f aca="false">D268*$B$2/12</f>
        <v>371.107691351091</v>
      </c>
      <c r="D269" s="1" t="n">
        <f aca="false">D268+C269-B269</f>
        <v>88363.3103695887</v>
      </c>
    </row>
    <row r="270" customFormat="false" ht="15" hidden="false" customHeight="false" outlineLevel="0" collapsed="false">
      <c r="A270" s="0" t="n">
        <v>260</v>
      </c>
      <c r="B270" s="1" t="n">
        <f aca="false">$B$4</f>
        <v>1073.64324602428</v>
      </c>
      <c r="C270" s="1" t="n">
        <f aca="false">D269*$B$2/12</f>
        <v>368.180459873286</v>
      </c>
      <c r="D270" s="1" t="n">
        <f aca="false">D269+C270-B270</f>
        <v>87657.8475834377</v>
      </c>
    </row>
    <row r="271" customFormat="false" ht="15" hidden="false" customHeight="false" outlineLevel="0" collapsed="false">
      <c r="A271" s="0" t="n">
        <v>261</v>
      </c>
      <c r="B271" s="1" t="n">
        <f aca="false">$B$4</f>
        <v>1073.64324602428</v>
      </c>
      <c r="C271" s="1" t="n">
        <f aca="false">D270*$B$2/12</f>
        <v>365.241031597657</v>
      </c>
      <c r="D271" s="1" t="n">
        <f aca="false">D270+C271-B271</f>
        <v>86949.4453690111</v>
      </c>
    </row>
    <row r="272" customFormat="false" ht="15" hidden="false" customHeight="false" outlineLevel="0" collapsed="false">
      <c r="A272" s="0" t="n">
        <v>262</v>
      </c>
      <c r="B272" s="1" t="n">
        <f aca="false">$B$4</f>
        <v>1073.64324602428</v>
      </c>
      <c r="C272" s="1" t="n">
        <f aca="false">D271*$B$2/12</f>
        <v>362.289355704213</v>
      </c>
      <c r="D272" s="1" t="n">
        <f aca="false">D271+C272-B272</f>
        <v>86238.091478691</v>
      </c>
    </row>
    <row r="273" customFormat="false" ht="15" hidden="false" customHeight="false" outlineLevel="0" collapsed="false">
      <c r="A273" s="0" t="n">
        <v>263</v>
      </c>
      <c r="B273" s="1" t="n">
        <f aca="false">$B$4</f>
        <v>1073.64324602428</v>
      </c>
      <c r="C273" s="1" t="n">
        <f aca="false">D272*$B$2/12</f>
        <v>359.325381161213</v>
      </c>
      <c r="D273" s="1" t="n">
        <f aca="false">D272+C273-B273</f>
        <v>85523.773613828</v>
      </c>
    </row>
    <row r="274" customFormat="false" ht="15" hidden="false" customHeight="false" outlineLevel="0" collapsed="false">
      <c r="A274" s="0" t="n">
        <v>264</v>
      </c>
      <c r="B274" s="1" t="n">
        <f aca="false">$B$4</f>
        <v>1073.64324602428</v>
      </c>
      <c r="C274" s="1" t="n">
        <f aca="false">D273*$B$2/12</f>
        <v>356.349056724283</v>
      </c>
      <c r="D274" s="1" t="n">
        <f aca="false">D273+C274-B274</f>
        <v>84806.479424528</v>
      </c>
    </row>
    <row r="275" customFormat="false" ht="15" hidden="false" customHeight="false" outlineLevel="0" collapsed="false">
      <c r="A275" s="0" t="n">
        <v>265</v>
      </c>
      <c r="B275" s="1" t="n">
        <f aca="false">$B$4</f>
        <v>1073.64324602428</v>
      </c>
      <c r="C275" s="1" t="n">
        <f aca="false">D274*$B$2/12</f>
        <v>353.360330935533</v>
      </c>
      <c r="D275" s="1" t="n">
        <f aca="false">D274+C275-B275</f>
        <v>84086.1965094392</v>
      </c>
    </row>
    <row r="276" customFormat="false" ht="15" hidden="false" customHeight="false" outlineLevel="0" collapsed="false">
      <c r="A276" s="0" t="n">
        <v>266</v>
      </c>
      <c r="B276" s="1" t="n">
        <f aca="false">$B$4</f>
        <v>1073.64324602428</v>
      </c>
      <c r="C276" s="1" t="n">
        <f aca="false">D275*$B$2/12</f>
        <v>350.359152122664</v>
      </c>
      <c r="D276" s="1" t="n">
        <f aca="false">D275+C276-B276</f>
        <v>83362.9124155376</v>
      </c>
    </row>
    <row r="277" customFormat="false" ht="15" hidden="false" customHeight="false" outlineLevel="0" collapsed="false">
      <c r="A277" s="0" t="n">
        <v>267</v>
      </c>
      <c r="B277" s="1" t="n">
        <f aca="false">$B$4</f>
        <v>1073.64324602428</v>
      </c>
      <c r="C277" s="1" t="n">
        <f aca="false">D276*$B$2/12</f>
        <v>347.345468398073</v>
      </c>
      <c r="D277" s="1" t="n">
        <f aca="false">D276+C277-B277</f>
        <v>82636.6146379114</v>
      </c>
    </row>
    <row r="278" customFormat="false" ht="15" hidden="false" customHeight="false" outlineLevel="0" collapsed="false">
      <c r="A278" s="0" t="n">
        <v>268</v>
      </c>
      <c r="B278" s="1" t="n">
        <f aca="false">$B$4</f>
        <v>1073.64324602428</v>
      </c>
      <c r="C278" s="1" t="n">
        <f aca="false">D277*$B$2/12</f>
        <v>344.319227657964</v>
      </c>
      <c r="D278" s="1" t="n">
        <f aca="false">D277+C278-B278</f>
        <v>81907.2906195451</v>
      </c>
    </row>
    <row r="279" customFormat="false" ht="15" hidden="false" customHeight="false" outlineLevel="0" collapsed="false">
      <c r="A279" s="0" t="n">
        <v>269</v>
      </c>
      <c r="B279" s="1" t="n">
        <f aca="false">$B$4</f>
        <v>1073.64324602428</v>
      </c>
      <c r="C279" s="1" t="n">
        <f aca="false">D278*$B$2/12</f>
        <v>341.280377581438</v>
      </c>
      <c r="D279" s="1" t="n">
        <f aca="false">D278+C279-B279</f>
        <v>81174.9277511022</v>
      </c>
    </row>
    <row r="280" customFormat="false" ht="15" hidden="false" customHeight="false" outlineLevel="0" collapsed="false">
      <c r="A280" s="0" t="n">
        <v>270</v>
      </c>
      <c r="B280" s="1" t="n">
        <f aca="false">$B$4</f>
        <v>1073.64324602428</v>
      </c>
      <c r="C280" s="1" t="n">
        <f aca="false">D279*$B$2/12</f>
        <v>338.228865629593</v>
      </c>
      <c r="D280" s="1" t="n">
        <f aca="false">D279+C280-B280</f>
        <v>80439.5133707075</v>
      </c>
    </row>
    <row r="281" customFormat="false" ht="15" hidden="false" customHeight="false" outlineLevel="0" collapsed="false">
      <c r="A281" s="0" t="n">
        <v>271</v>
      </c>
      <c r="B281" s="1" t="n">
        <f aca="false">$B$4</f>
        <v>1073.64324602428</v>
      </c>
      <c r="C281" s="1" t="n">
        <f aca="false">D280*$B$2/12</f>
        <v>335.164639044615</v>
      </c>
      <c r="D281" s="1" t="n">
        <f aca="false">D280+C281-B281</f>
        <v>79701.0347637279</v>
      </c>
    </row>
    <row r="282" customFormat="false" ht="15" hidden="false" customHeight="false" outlineLevel="0" collapsed="false">
      <c r="A282" s="0" t="n">
        <v>272</v>
      </c>
      <c r="B282" s="1" t="n">
        <f aca="false">$B$4</f>
        <v>1073.64324602428</v>
      </c>
      <c r="C282" s="1" t="n">
        <f aca="false">D281*$B$2/12</f>
        <v>332.087644848866</v>
      </c>
      <c r="D282" s="1" t="n">
        <f aca="false">D281+C282-B282</f>
        <v>78959.4791625525</v>
      </c>
    </row>
    <row r="283" customFormat="false" ht="15" hidden="false" customHeight="false" outlineLevel="0" collapsed="false">
      <c r="A283" s="0" t="n">
        <v>273</v>
      </c>
      <c r="B283" s="1" t="n">
        <f aca="false">$B$4</f>
        <v>1073.64324602428</v>
      </c>
      <c r="C283" s="1" t="n">
        <f aca="false">D282*$B$2/12</f>
        <v>328.997829843969</v>
      </c>
      <c r="D283" s="1" t="n">
        <f aca="false">D282+C283-B283</f>
        <v>78214.8337463722</v>
      </c>
    </row>
    <row r="284" customFormat="false" ht="15" hidden="false" customHeight="false" outlineLevel="0" collapsed="false">
      <c r="A284" s="0" t="n">
        <v>274</v>
      </c>
      <c r="B284" s="1" t="n">
        <f aca="false">$B$4</f>
        <v>1073.64324602428</v>
      </c>
      <c r="C284" s="1" t="n">
        <f aca="false">D283*$B$2/12</f>
        <v>325.895140609884</v>
      </c>
      <c r="D284" s="1" t="n">
        <f aca="false">D283+C284-B284</f>
        <v>77467.0856409578</v>
      </c>
    </row>
    <row r="285" customFormat="false" ht="15" hidden="false" customHeight="false" outlineLevel="0" collapsed="false">
      <c r="A285" s="0" t="n">
        <v>275</v>
      </c>
      <c r="B285" s="1" t="n">
        <f aca="false">$B$4</f>
        <v>1073.64324602428</v>
      </c>
      <c r="C285" s="1" t="n">
        <f aca="false">D284*$B$2/12</f>
        <v>322.779523503991</v>
      </c>
      <c r="D285" s="1" t="n">
        <f aca="false">D284+C285-B285</f>
        <v>76716.2219184375</v>
      </c>
    </row>
    <row r="286" customFormat="false" ht="15" hidden="false" customHeight="false" outlineLevel="0" collapsed="false">
      <c r="A286" s="0" t="n">
        <v>276</v>
      </c>
      <c r="B286" s="1" t="n">
        <f aca="false">$B$4</f>
        <v>1073.64324602428</v>
      </c>
      <c r="C286" s="1" t="n">
        <f aca="false">D285*$B$2/12</f>
        <v>319.650924660156</v>
      </c>
      <c r="D286" s="1" t="n">
        <f aca="false">D285+C286-B286</f>
        <v>75962.2295970733</v>
      </c>
    </row>
    <row r="287" customFormat="false" ht="15" hidden="false" customHeight="false" outlineLevel="0" collapsed="false">
      <c r="A287" s="0" t="n">
        <v>277</v>
      </c>
      <c r="B287" s="1" t="n">
        <f aca="false">$B$4</f>
        <v>1073.64324602428</v>
      </c>
      <c r="C287" s="1" t="n">
        <f aca="false">D286*$B$2/12</f>
        <v>316.509289987806</v>
      </c>
      <c r="D287" s="1" t="n">
        <f aca="false">D286+C287-B287</f>
        <v>75205.0956410369</v>
      </c>
    </row>
    <row r="288" customFormat="false" ht="15" hidden="false" customHeight="false" outlineLevel="0" collapsed="false">
      <c r="A288" s="0" t="n">
        <v>278</v>
      </c>
      <c r="B288" s="1" t="n">
        <f aca="false">$B$4</f>
        <v>1073.64324602428</v>
      </c>
      <c r="C288" s="1" t="n">
        <f aca="false">D287*$B$2/12</f>
        <v>313.354565170987</v>
      </c>
      <c r="D288" s="1" t="n">
        <f aca="false">D287+C288-B288</f>
        <v>74444.8069601836</v>
      </c>
    </row>
    <row r="289" customFormat="false" ht="15" hidden="false" customHeight="false" outlineLevel="0" collapsed="false">
      <c r="A289" s="0" t="n">
        <v>279</v>
      </c>
      <c r="B289" s="1" t="n">
        <f aca="false">$B$4</f>
        <v>1073.64324602428</v>
      </c>
      <c r="C289" s="1" t="n">
        <f aca="false">D288*$B$2/12</f>
        <v>310.186695667432</v>
      </c>
      <c r="D289" s="1" t="n">
        <f aca="false">D288+C289-B289</f>
        <v>73681.3504098267</v>
      </c>
    </row>
    <row r="290" customFormat="false" ht="15" hidden="false" customHeight="false" outlineLevel="0" collapsed="false">
      <c r="A290" s="0" t="n">
        <v>280</v>
      </c>
      <c r="B290" s="1" t="n">
        <f aca="false">$B$4</f>
        <v>1073.64324602428</v>
      </c>
      <c r="C290" s="1" t="n">
        <f aca="false">D289*$B$2/12</f>
        <v>307.005626707611</v>
      </c>
      <c r="D290" s="1" t="n">
        <f aca="false">D289+C290-B290</f>
        <v>72914.7127905101</v>
      </c>
    </row>
    <row r="291" customFormat="false" ht="15" hidden="false" customHeight="false" outlineLevel="0" collapsed="false">
      <c r="A291" s="0" t="n">
        <v>281</v>
      </c>
      <c r="B291" s="1" t="n">
        <f aca="false">$B$4</f>
        <v>1073.64324602428</v>
      </c>
      <c r="C291" s="1" t="n">
        <f aca="false">D290*$B$2/12</f>
        <v>303.811303293792</v>
      </c>
      <c r="D291" s="1" t="n">
        <f aca="false">D290+C291-B291</f>
        <v>72144.8808477796</v>
      </c>
    </row>
    <row r="292" customFormat="false" ht="15" hidden="false" customHeight="false" outlineLevel="0" collapsed="false">
      <c r="A292" s="0" t="n">
        <v>282</v>
      </c>
      <c r="B292" s="1" t="n">
        <f aca="false">$B$4</f>
        <v>1073.64324602428</v>
      </c>
      <c r="C292" s="1" t="n">
        <f aca="false">D291*$B$2/12</f>
        <v>300.603670199082</v>
      </c>
      <c r="D292" s="1" t="n">
        <f aca="false">D291+C292-B292</f>
        <v>71371.8412719544</v>
      </c>
    </row>
    <row r="293" customFormat="false" ht="15" hidden="false" customHeight="false" outlineLevel="0" collapsed="false">
      <c r="A293" s="0" t="n">
        <v>283</v>
      </c>
      <c r="B293" s="1" t="n">
        <f aca="false">$B$4</f>
        <v>1073.64324602428</v>
      </c>
      <c r="C293" s="1" t="n">
        <f aca="false">D292*$B$2/12</f>
        <v>297.382671966477</v>
      </c>
      <c r="D293" s="1" t="n">
        <f aca="false">D292+C293-B293</f>
        <v>70595.5806978966</v>
      </c>
    </row>
    <row r="294" customFormat="false" ht="15" hidden="false" customHeight="false" outlineLevel="0" collapsed="false">
      <c r="A294" s="0" t="n">
        <v>284</v>
      </c>
      <c r="B294" s="1" t="n">
        <f aca="false">$B$4</f>
        <v>1073.64324602428</v>
      </c>
      <c r="C294" s="1" t="n">
        <f aca="false">D293*$B$2/12</f>
        <v>294.148252907902</v>
      </c>
      <c r="D294" s="1" t="n">
        <f aca="false">D293+C294-B294</f>
        <v>69816.0857047802</v>
      </c>
    </row>
    <row r="295" customFormat="false" ht="15" hidden="false" customHeight="false" outlineLevel="0" collapsed="false">
      <c r="A295" s="0" t="n">
        <v>285</v>
      </c>
      <c r="B295" s="1" t="n">
        <f aca="false">$B$4</f>
        <v>1073.64324602428</v>
      </c>
      <c r="C295" s="1" t="n">
        <f aca="false">D294*$B$2/12</f>
        <v>290.900357103251</v>
      </c>
      <c r="D295" s="1" t="n">
        <f aca="false">D294+C295-B295</f>
        <v>69033.3428158592</v>
      </c>
    </row>
    <row r="296" customFormat="false" ht="15" hidden="false" customHeight="false" outlineLevel="0" collapsed="false">
      <c r="A296" s="0" t="n">
        <v>286</v>
      </c>
      <c r="B296" s="1" t="n">
        <f aca="false">$B$4</f>
        <v>1073.64324602428</v>
      </c>
      <c r="C296" s="1" t="n">
        <f aca="false">D295*$B$2/12</f>
        <v>287.638928399413</v>
      </c>
      <c r="D296" s="1" t="n">
        <f aca="false">D295+C296-B296</f>
        <v>68247.3384982343</v>
      </c>
    </row>
    <row r="297" customFormat="false" ht="15" hidden="false" customHeight="false" outlineLevel="0" collapsed="false">
      <c r="A297" s="0" t="n">
        <v>287</v>
      </c>
      <c r="B297" s="1" t="n">
        <f aca="false">$B$4</f>
        <v>1073.64324602428</v>
      </c>
      <c r="C297" s="1" t="n">
        <f aca="false">D296*$B$2/12</f>
        <v>284.36391040931</v>
      </c>
      <c r="D297" s="1" t="n">
        <f aca="false">D296+C297-B297</f>
        <v>67458.0591626194</v>
      </c>
    </row>
    <row r="298" customFormat="false" ht="15" hidden="false" customHeight="false" outlineLevel="0" collapsed="false">
      <c r="A298" s="0" t="n">
        <v>288</v>
      </c>
      <c r="B298" s="1" t="n">
        <f aca="false">$B$4</f>
        <v>1073.64324602428</v>
      </c>
      <c r="C298" s="1" t="n">
        <f aca="false">D297*$B$2/12</f>
        <v>281.075246510914</v>
      </c>
      <c r="D298" s="1" t="n">
        <f aca="false">D297+C298-B298</f>
        <v>66665.491163106</v>
      </c>
    </row>
    <row r="299" customFormat="false" ht="15" hidden="false" customHeight="false" outlineLevel="0" collapsed="false">
      <c r="A299" s="0" t="n">
        <v>289</v>
      </c>
      <c r="B299" s="1" t="n">
        <f aca="false">$B$4</f>
        <v>1073.64324602428</v>
      </c>
      <c r="C299" s="1" t="n">
        <f aca="false">D298*$B$2/12</f>
        <v>277.772879846275</v>
      </c>
      <c r="D299" s="1" t="n">
        <f aca="false">D298+C299-B299</f>
        <v>65869.620796928</v>
      </c>
    </row>
    <row r="300" customFormat="false" ht="15" hidden="false" customHeight="false" outlineLevel="0" collapsed="false">
      <c r="A300" s="0" t="n">
        <v>290</v>
      </c>
      <c r="B300" s="1" t="n">
        <f aca="false">$B$4</f>
        <v>1073.64324602428</v>
      </c>
      <c r="C300" s="1" t="n">
        <f aca="false">D299*$B$2/12</f>
        <v>274.456753320533</v>
      </c>
      <c r="D300" s="1" t="n">
        <f aca="false">D299+C300-B300</f>
        <v>65070.4343042242</v>
      </c>
    </row>
    <row r="301" customFormat="false" ht="15" hidden="false" customHeight="false" outlineLevel="0" collapsed="false">
      <c r="A301" s="0" t="n">
        <v>291</v>
      </c>
      <c r="B301" s="1" t="n">
        <f aca="false">$B$4</f>
        <v>1073.64324602428</v>
      </c>
      <c r="C301" s="1" t="n">
        <f aca="false">D300*$B$2/12</f>
        <v>271.126809600934</v>
      </c>
      <c r="D301" s="1" t="n">
        <f aca="false">D300+C301-B301</f>
        <v>64267.9178678009</v>
      </c>
    </row>
    <row r="302" customFormat="false" ht="15" hidden="false" customHeight="false" outlineLevel="0" collapsed="false">
      <c r="A302" s="0" t="n">
        <v>292</v>
      </c>
      <c r="B302" s="1" t="n">
        <f aca="false">$B$4</f>
        <v>1073.64324602428</v>
      </c>
      <c r="C302" s="1" t="n">
        <f aca="false">D301*$B$2/12</f>
        <v>267.782991115837</v>
      </c>
      <c r="D302" s="1" t="n">
        <f aca="false">D301+C302-B302</f>
        <v>63462.0576128924</v>
      </c>
    </row>
    <row r="303" customFormat="false" ht="15" hidden="false" customHeight="false" outlineLevel="0" collapsed="false">
      <c r="A303" s="0" t="n">
        <v>293</v>
      </c>
      <c r="B303" s="1" t="n">
        <f aca="false">$B$4</f>
        <v>1073.64324602428</v>
      </c>
      <c r="C303" s="1" t="n">
        <f aca="false">D302*$B$2/12</f>
        <v>264.425240053719</v>
      </c>
      <c r="D303" s="1" t="n">
        <f aca="false">D302+C303-B303</f>
        <v>62652.8396069219</v>
      </c>
    </row>
    <row r="304" customFormat="false" ht="15" hidden="false" customHeight="false" outlineLevel="0" collapsed="false">
      <c r="A304" s="0" t="n">
        <v>294</v>
      </c>
      <c r="B304" s="1" t="n">
        <f aca="false">$B$4</f>
        <v>1073.64324602428</v>
      </c>
      <c r="C304" s="1" t="n">
        <f aca="false">D303*$B$2/12</f>
        <v>261.053498362175</v>
      </c>
      <c r="D304" s="1" t="n">
        <f aca="false">D303+C304-B304</f>
        <v>61840.2498592598</v>
      </c>
    </row>
    <row r="305" customFormat="false" ht="15" hidden="false" customHeight="false" outlineLevel="0" collapsed="false">
      <c r="A305" s="0" t="n">
        <v>295</v>
      </c>
      <c r="B305" s="1" t="n">
        <f aca="false">$B$4</f>
        <v>1073.64324602428</v>
      </c>
      <c r="C305" s="1" t="n">
        <f aca="false">D304*$B$2/12</f>
        <v>257.667707746916</v>
      </c>
      <c r="D305" s="1" t="n">
        <f aca="false">D304+C305-B305</f>
        <v>61024.2743209824</v>
      </c>
    </row>
    <row r="306" customFormat="false" ht="15" hidden="false" customHeight="false" outlineLevel="0" collapsed="false">
      <c r="A306" s="0" t="n">
        <v>296</v>
      </c>
      <c r="B306" s="1" t="n">
        <f aca="false">$B$4</f>
        <v>1073.64324602428</v>
      </c>
      <c r="C306" s="1" t="n">
        <f aca="false">D305*$B$2/12</f>
        <v>254.26780967076</v>
      </c>
      <c r="D306" s="1" t="n">
        <f aca="false">D305+C306-B306</f>
        <v>60204.8988846289</v>
      </c>
    </row>
    <row r="307" customFormat="false" ht="15" hidden="false" customHeight="false" outlineLevel="0" collapsed="false">
      <c r="A307" s="0" t="n">
        <v>297</v>
      </c>
      <c r="B307" s="1" t="n">
        <f aca="false">$B$4</f>
        <v>1073.64324602428</v>
      </c>
      <c r="C307" s="1" t="n">
        <f aca="false">D306*$B$2/12</f>
        <v>250.85374535262</v>
      </c>
      <c r="D307" s="1" t="n">
        <f aca="false">D306+C307-B307</f>
        <v>59382.1093839572</v>
      </c>
    </row>
    <row r="308" customFormat="false" ht="15" hidden="false" customHeight="false" outlineLevel="0" collapsed="false">
      <c r="A308" s="0" t="n">
        <v>298</v>
      </c>
      <c r="B308" s="1" t="n">
        <f aca="false">$B$4</f>
        <v>1073.64324602428</v>
      </c>
      <c r="C308" s="1" t="n">
        <f aca="false">D307*$B$2/12</f>
        <v>247.425455766489</v>
      </c>
      <c r="D308" s="1" t="n">
        <f aca="false">D307+C308-B308</f>
        <v>58555.8915936994</v>
      </c>
    </row>
    <row r="309" customFormat="false" ht="15" hidden="false" customHeight="false" outlineLevel="0" collapsed="false">
      <c r="A309" s="0" t="n">
        <v>299</v>
      </c>
      <c r="B309" s="1" t="n">
        <f aca="false">$B$4</f>
        <v>1073.64324602428</v>
      </c>
      <c r="C309" s="1" t="n">
        <f aca="false">D308*$B$2/12</f>
        <v>243.982881640414</v>
      </c>
      <c r="D309" s="1" t="n">
        <f aca="false">D308+C309-B309</f>
        <v>57726.2312293156</v>
      </c>
    </row>
    <row r="310" customFormat="false" ht="15" hidden="false" customHeight="false" outlineLevel="0" collapsed="false">
      <c r="A310" s="0" t="n">
        <v>300</v>
      </c>
      <c r="B310" s="1" t="n">
        <f aca="false">$B$4</f>
        <v>1073.64324602428</v>
      </c>
      <c r="C310" s="1" t="n">
        <f aca="false">D309*$B$2/12</f>
        <v>240.525963455482</v>
      </c>
      <c r="D310" s="1" t="n">
        <f aca="false">D309+C310-B310</f>
        <v>56893.1139467468</v>
      </c>
    </row>
    <row r="311" customFormat="false" ht="15" hidden="false" customHeight="false" outlineLevel="0" collapsed="false">
      <c r="A311" s="0" t="n">
        <v>301</v>
      </c>
      <c r="B311" s="1" t="n">
        <f aca="false">$B$4</f>
        <v>1073.64324602428</v>
      </c>
      <c r="C311" s="1" t="n">
        <f aca="false">D310*$B$2/12</f>
        <v>237.054641444778</v>
      </c>
      <c r="D311" s="1" t="n">
        <f aca="false">D310+C311-B311</f>
        <v>56056.5253421673</v>
      </c>
    </row>
    <row r="312" customFormat="false" ht="15" hidden="false" customHeight="false" outlineLevel="0" collapsed="false">
      <c r="A312" s="0" t="n">
        <v>302</v>
      </c>
      <c r="B312" s="1" t="n">
        <f aca="false">$B$4</f>
        <v>1073.64324602428</v>
      </c>
      <c r="C312" s="1" t="n">
        <f aca="false">D311*$B$2/12</f>
        <v>233.568855592364</v>
      </c>
      <c r="D312" s="1" t="n">
        <f aca="false">D311+C312-B312</f>
        <v>55216.4509517354</v>
      </c>
    </row>
    <row r="313" customFormat="false" ht="15" hidden="false" customHeight="false" outlineLevel="0" collapsed="false">
      <c r="A313" s="0" t="n">
        <v>303</v>
      </c>
      <c r="B313" s="1" t="n">
        <f aca="false">$B$4</f>
        <v>1073.64324602428</v>
      </c>
      <c r="C313" s="1" t="n">
        <f aca="false">D312*$B$2/12</f>
        <v>230.068545632231</v>
      </c>
      <c r="D313" s="1" t="n">
        <f aca="false">D312+C313-B313</f>
        <v>54372.8762513433</v>
      </c>
    </row>
    <row r="314" customFormat="false" ht="15" hidden="false" customHeight="false" outlineLevel="0" collapsed="false">
      <c r="A314" s="0" t="n">
        <v>304</v>
      </c>
      <c r="B314" s="1" t="n">
        <f aca="false">$B$4</f>
        <v>1073.64324602428</v>
      </c>
      <c r="C314" s="1" t="n">
        <f aca="false">D313*$B$2/12</f>
        <v>226.553651047264</v>
      </c>
      <c r="D314" s="1" t="n">
        <f aca="false">D313+C314-B314</f>
        <v>53525.7866563663</v>
      </c>
    </row>
    <row r="315" customFormat="false" ht="15" hidden="false" customHeight="false" outlineLevel="0" collapsed="false">
      <c r="A315" s="0" t="n">
        <v>305</v>
      </c>
      <c r="B315" s="1" t="n">
        <f aca="false">$B$4</f>
        <v>1073.64324602428</v>
      </c>
      <c r="C315" s="1" t="n">
        <f aca="false">D314*$B$2/12</f>
        <v>223.024111068193</v>
      </c>
      <c r="D315" s="1" t="n">
        <f aca="false">D314+C315-B315</f>
        <v>52675.1675214102</v>
      </c>
    </row>
    <row r="316" customFormat="false" ht="15" hidden="false" customHeight="false" outlineLevel="0" collapsed="false">
      <c r="A316" s="0" t="n">
        <v>306</v>
      </c>
      <c r="B316" s="1" t="n">
        <f aca="false">$B$4</f>
        <v>1073.64324602428</v>
      </c>
      <c r="C316" s="1" t="n">
        <f aca="false">D315*$B$2/12</f>
        <v>219.479864672543</v>
      </c>
      <c r="D316" s="1" t="n">
        <f aca="false">D315+C316-B316</f>
        <v>51821.0041400585</v>
      </c>
    </row>
    <row r="317" customFormat="false" ht="15" hidden="false" customHeight="false" outlineLevel="0" collapsed="false">
      <c r="A317" s="0" t="n">
        <v>307</v>
      </c>
      <c r="B317" s="1" t="n">
        <f aca="false">$B$4</f>
        <v>1073.64324602428</v>
      </c>
      <c r="C317" s="1" t="n">
        <f aca="false">D316*$B$2/12</f>
        <v>215.920850583577</v>
      </c>
      <c r="D317" s="1" t="n">
        <f aca="false">D316+C317-B317</f>
        <v>50963.2817446178</v>
      </c>
    </row>
    <row r="318" customFormat="false" ht="15" hidden="false" customHeight="false" outlineLevel="0" collapsed="false">
      <c r="A318" s="0" t="n">
        <v>308</v>
      </c>
      <c r="B318" s="1" t="n">
        <f aca="false">$B$4</f>
        <v>1073.64324602428</v>
      </c>
      <c r="C318" s="1" t="n">
        <f aca="false">D317*$B$2/12</f>
        <v>212.347007269241</v>
      </c>
      <c r="D318" s="1" t="n">
        <f aca="false">D317+C318-B318</f>
        <v>50101.9855058627</v>
      </c>
    </row>
    <row r="319" customFormat="false" ht="15" hidden="false" customHeight="false" outlineLevel="0" collapsed="false">
      <c r="A319" s="0" t="n">
        <v>309</v>
      </c>
      <c r="B319" s="1" t="n">
        <f aca="false">$B$4</f>
        <v>1073.64324602428</v>
      </c>
      <c r="C319" s="1" t="n">
        <f aca="false">D318*$B$2/12</f>
        <v>208.758272941095</v>
      </c>
      <c r="D319" s="1" t="n">
        <f aca="false">D318+C319-B319</f>
        <v>49237.1005327796</v>
      </c>
    </row>
    <row r="320" customFormat="false" ht="15" hidden="false" customHeight="false" outlineLevel="0" collapsed="false">
      <c r="A320" s="0" t="n">
        <v>310</v>
      </c>
      <c r="B320" s="1" t="n">
        <f aca="false">$B$4</f>
        <v>1073.64324602428</v>
      </c>
      <c r="C320" s="1" t="n">
        <f aca="false">D319*$B$2/12</f>
        <v>205.154585553248</v>
      </c>
      <c r="D320" s="1" t="n">
        <f aca="false">D319+C320-B320</f>
        <v>48368.6118723085</v>
      </c>
    </row>
    <row r="321" customFormat="false" ht="15" hidden="false" customHeight="false" outlineLevel="0" collapsed="false">
      <c r="A321" s="0" t="n">
        <v>311</v>
      </c>
      <c r="B321" s="1" t="n">
        <f aca="false">$B$4</f>
        <v>1073.64324602428</v>
      </c>
      <c r="C321" s="1" t="n">
        <f aca="false">D320*$B$2/12</f>
        <v>201.535882801286</v>
      </c>
      <c r="D321" s="1" t="n">
        <f aca="false">D320+C321-B321</f>
        <v>47496.5045090855</v>
      </c>
    </row>
    <row r="322" customFormat="false" ht="15" hidden="false" customHeight="false" outlineLevel="0" collapsed="false">
      <c r="A322" s="0" t="n">
        <v>312</v>
      </c>
      <c r="B322" s="1" t="n">
        <f aca="false">$B$4</f>
        <v>1073.64324602428</v>
      </c>
      <c r="C322" s="1" t="n">
        <f aca="false">D321*$B$2/12</f>
        <v>197.90210212119</v>
      </c>
      <c r="D322" s="1" t="n">
        <f aca="false">D321+C322-B322</f>
        <v>46620.7633651824</v>
      </c>
    </row>
    <row r="323" customFormat="false" ht="15" hidden="false" customHeight="false" outlineLevel="0" collapsed="false">
      <c r="A323" s="0" t="n">
        <v>313</v>
      </c>
      <c r="B323" s="1" t="n">
        <f aca="false">$B$4</f>
        <v>1073.64324602428</v>
      </c>
      <c r="C323" s="1" t="n">
        <f aca="false">D322*$B$2/12</f>
        <v>194.25318068826</v>
      </c>
      <c r="D323" s="1" t="n">
        <f aca="false">D322+C323-B323</f>
        <v>45741.3732998464</v>
      </c>
    </row>
    <row r="324" customFormat="false" ht="15" hidden="false" customHeight="false" outlineLevel="0" collapsed="false">
      <c r="A324" s="0" t="n">
        <v>314</v>
      </c>
      <c r="B324" s="1" t="n">
        <f aca="false">$B$4</f>
        <v>1073.64324602428</v>
      </c>
      <c r="C324" s="1" t="n">
        <f aca="false">D323*$B$2/12</f>
        <v>190.589055416027</v>
      </c>
      <c r="D324" s="1" t="n">
        <f aca="false">D323+C324-B324</f>
        <v>44858.3191092382</v>
      </c>
    </row>
    <row r="325" customFormat="false" ht="15" hidden="false" customHeight="false" outlineLevel="0" collapsed="false">
      <c r="A325" s="0" t="n">
        <v>315</v>
      </c>
      <c r="B325" s="1" t="n">
        <f aca="false">$B$4</f>
        <v>1073.64324602428</v>
      </c>
      <c r="C325" s="1" t="n">
        <f aca="false">D324*$B$2/12</f>
        <v>186.909662955159</v>
      </c>
      <c r="D325" s="1" t="n">
        <f aca="false">D324+C325-B325</f>
        <v>43971.585526169</v>
      </c>
    </row>
    <row r="326" customFormat="false" ht="15" hidden="false" customHeight="false" outlineLevel="0" collapsed="false">
      <c r="A326" s="0" t="n">
        <v>316</v>
      </c>
      <c r="B326" s="1" t="n">
        <f aca="false">$B$4</f>
        <v>1073.64324602428</v>
      </c>
      <c r="C326" s="1" t="n">
        <f aca="false">D325*$B$2/12</f>
        <v>183.214939692371</v>
      </c>
      <c r="D326" s="1" t="n">
        <f aca="false">D325+C326-B326</f>
        <v>43081.1572198371</v>
      </c>
    </row>
    <row r="327" customFormat="false" ht="15" hidden="false" customHeight="false" outlineLevel="0" collapsed="false">
      <c r="A327" s="0" t="n">
        <v>317</v>
      </c>
      <c r="B327" s="1" t="n">
        <f aca="false">$B$4</f>
        <v>1073.64324602428</v>
      </c>
      <c r="C327" s="1" t="n">
        <f aca="false">D326*$B$2/12</f>
        <v>179.504821749321</v>
      </c>
      <c r="D327" s="1" t="n">
        <f aca="false">D326+C327-B327</f>
        <v>42187.0187955622</v>
      </c>
    </row>
    <row r="328" customFormat="false" ht="15" hidden="false" customHeight="false" outlineLevel="0" collapsed="false">
      <c r="A328" s="0" t="n">
        <v>318</v>
      </c>
      <c r="B328" s="1" t="n">
        <f aca="false">$B$4</f>
        <v>1073.64324602428</v>
      </c>
      <c r="C328" s="1" t="n">
        <f aca="false">D327*$B$2/12</f>
        <v>175.779244981509</v>
      </c>
      <c r="D328" s="1" t="n">
        <f aca="false">D327+C328-B328</f>
        <v>41289.1547945194</v>
      </c>
    </row>
    <row r="329" customFormat="false" ht="15" hidden="false" customHeight="false" outlineLevel="0" collapsed="false">
      <c r="A329" s="0" t="n">
        <v>319</v>
      </c>
      <c r="B329" s="1" t="n">
        <f aca="false">$B$4</f>
        <v>1073.64324602428</v>
      </c>
      <c r="C329" s="1" t="n">
        <f aca="false">D328*$B$2/12</f>
        <v>172.038144977164</v>
      </c>
      <c r="D329" s="1" t="n">
        <f aca="false">D328+C329-B329</f>
        <v>40387.5496934723</v>
      </c>
    </row>
    <row r="330" customFormat="false" ht="15" hidden="false" customHeight="false" outlineLevel="0" collapsed="false">
      <c r="A330" s="0" t="n">
        <v>320</v>
      </c>
      <c r="B330" s="1" t="n">
        <f aca="false">$B$4</f>
        <v>1073.64324602428</v>
      </c>
      <c r="C330" s="1" t="n">
        <f aca="false">D329*$B$2/12</f>
        <v>168.281457056135</v>
      </c>
      <c r="D330" s="1" t="n">
        <f aca="false">D329+C330-B330</f>
        <v>39482.1879045042</v>
      </c>
    </row>
    <row r="331" customFormat="false" ht="15" hidden="false" customHeight="false" outlineLevel="0" collapsed="false">
      <c r="A331" s="0" t="n">
        <v>321</v>
      </c>
      <c r="B331" s="1" t="n">
        <f aca="false">$B$4</f>
        <v>1073.64324602428</v>
      </c>
      <c r="C331" s="1" t="n">
        <f aca="false">D330*$B$2/12</f>
        <v>164.509116268767</v>
      </c>
      <c r="D331" s="1" t="n">
        <f aca="false">D330+C331-B331</f>
        <v>38573.0537747486</v>
      </c>
    </row>
    <row r="332" customFormat="false" ht="15" hidden="false" customHeight="false" outlineLevel="0" collapsed="false">
      <c r="A332" s="0" t="n">
        <v>322</v>
      </c>
      <c r="B332" s="1" t="n">
        <f aca="false">$B$4</f>
        <v>1073.64324602428</v>
      </c>
      <c r="C332" s="1" t="n">
        <f aca="false">D331*$B$2/12</f>
        <v>160.721057394786</v>
      </c>
      <c r="D332" s="1" t="n">
        <f aca="false">D331+C332-B332</f>
        <v>37660.1315861192</v>
      </c>
    </row>
    <row r="333" customFormat="false" ht="15" hidden="false" customHeight="false" outlineLevel="0" collapsed="false">
      <c r="A333" s="0" t="n">
        <v>323</v>
      </c>
      <c r="B333" s="1" t="n">
        <f aca="false">$B$4</f>
        <v>1073.64324602428</v>
      </c>
      <c r="C333" s="1" t="n">
        <f aca="false">D332*$B$2/12</f>
        <v>156.917214942163</v>
      </c>
      <c r="D333" s="1" t="n">
        <f aca="false">D332+C333-B333</f>
        <v>36743.405555037</v>
      </c>
    </row>
    <row r="334" customFormat="false" ht="15" hidden="false" customHeight="false" outlineLevel="0" collapsed="false">
      <c r="A334" s="0" t="n">
        <v>324</v>
      </c>
      <c r="B334" s="1" t="n">
        <f aca="false">$B$4</f>
        <v>1073.64324602428</v>
      </c>
      <c r="C334" s="1" t="n">
        <f aca="false">D333*$B$2/12</f>
        <v>153.097523145988</v>
      </c>
      <c r="D334" s="1" t="n">
        <f aca="false">D333+C334-B334</f>
        <v>35822.8598321587</v>
      </c>
    </row>
    <row r="335" customFormat="false" ht="15" hidden="false" customHeight="false" outlineLevel="0" collapsed="false">
      <c r="A335" s="0" t="n">
        <v>325</v>
      </c>
      <c r="B335" s="1" t="n">
        <f aca="false">$B$4</f>
        <v>1073.64324602428</v>
      </c>
      <c r="C335" s="1" t="n">
        <f aca="false">D334*$B$2/12</f>
        <v>149.261915967328</v>
      </c>
      <c r="D335" s="1" t="n">
        <f aca="false">D334+C335-B335</f>
        <v>34898.4785021018</v>
      </c>
    </row>
    <row r="336" customFormat="false" ht="15" hidden="false" customHeight="false" outlineLevel="0" collapsed="false">
      <c r="A336" s="0" t="n">
        <v>326</v>
      </c>
      <c r="B336" s="1" t="n">
        <f aca="false">$B$4</f>
        <v>1073.64324602428</v>
      </c>
      <c r="C336" s="1" t="n">
        <f aca="false">D335*$B$2/12</f>
        <v>145.410327092091</v>
      </c>
      <c r="D336" s="1" t="n">
        <f aca="false">D335+C336-B336</f>
        <v>33970.2455831696</v>
      </c>
    </row>
    <row r="337" customFormat="false" ht="15" hidden="false" customHeight="false" outlineLevel="0" collapsed="false">
      <c r="A337" s="0" t="n">
        <v>327</v>
      </c>
      <c r="B337" s="1" t="n">
        <f aca="false">$B$4</f>
        <v>1073.64324602428</v>
      </c>
      <c r="C337" s="1" t="n">
        <f aca="false">D336*$B$2/12</f>
        <v>141.542689929873</v>
      </c>
      <c r="D337" s="1" t="n">
        <f aca="false">D336+C337-B337</f>
        <v>33038.1450270752</v>
      </c>
    </row>
    <row r="338" customFormat="false" ht="15" hidden="false" customHeight="false" outlineLevel="0" collapsed="false">
      <c r="A338" s="0" t="n">
        <v>328</v>
      </c>
      <c r="B338" s="1" t="n">
        <f aca="false">$B$4</f>
        <v>1073.64324602428</v>
      </c>
      <c r="C338" s="1" t="n">
        <f aca="false">D337*$B$2/12</f>
        <v>137.658937612813</v>
      </c>
      <c r="D338" s="1" t="n">
        <f aca="false">D337+C338-B338</f>
        <v>32102.1607186637</v>
      </c>
    </row>
    <row r="339" customFormat="false" ht="15" hidden="false" customHeight="false" outlineLevel="0" collapsed="false">
      <c r="A339" s="0" t="n">
        <v>329</v>
      </c>
      <c r="B339" s="1" t="n">
        <f aca="false">$B$4</f>
        <v>1073.64324602428</v>
      </c>
      <c r="C339" s="1" t="n">
        <f aca="false">D338*$B$2/12</f>
        <v>133.759002994432</v>
      </c>
      <c r="D339" s="1" t="n">
        <f aca="false">D338+C339-B339</f>
        <v>31162.2764756339</v>
      </c>
    </row>
    <row r="340" customFormat="false" ht="15" hidden="false" customHeight="false" outlineLevel="0" collapsed="false">
      <c r="A340" s="0" t="n">
        <v>330</v>
      </c>
      <c r="B340" s="1" t="n">
        <f aca="false">$B$4</f>
        <v>1073.64324602428</v>
      </c>
      <c r="C340" s="1" t="n">
        <f aca="false">D339*$B$2/12</f>
        <v>129.842818648475</v>
      </c>
      <c r="D340" s="1" t="n">
        <f aca="false">D339+C340-B340</f>
        <v>30218.4760482581</v>
      </c>
    </row>
    <row r="341" customFormat="false" ht="15" hidden="false" customHeight="false" outlineLevel="0" collapsed="false">
      <c r="A341" s="0" t="n">
        <v>331</v>
      </c>
      <c r="B341" s="1" t="n">
        <f aca="false">$B$4</f>
        <v>1073.64324602428</v>
      </c>
      <c r="C341" s="1" t="n">
        <f aca="false">D340*$B$2/12</f>
        <v>125.910316867742</v>
      </c>
      <c r="D341" s="1" t="n">
        <f aca="false">D340+C341-B341</f>
        <v>29270.7431191015</v>
      </c>
    </row>
    <row r="342" customFormat="false" ht="15" hidden="false" customHeight="false" outlineLevel="0" collapsed="false">
      <c r="A342" s="0" t="n">
        <v>332</v>
      </c>
      <c r="B342" s="1" t="n">
        <f aca="false">$B$4</f>
        <v>1073.64324602428</v>
      </c>
      <c r="C342" s="1" t="n">
        <f aca="false">D341*$B$2/12</f>
        <v>121.961429662923</v>
      </c>
      <c r="D342" s="1" t="n">
        <f aca="false">D341+C342-B342</f>
        <v>28319.0613027402</v>
      </c>
    </row>
    <row r="343" customFormat="false" ht="15" hidden="false" customHeight="false" outlineLevel="0" collapsed="false">
      <c r="A343" s="0" t="n">
        <v>333</v>
      </c>
      <c r="B343" s="1" t="n">
        <f aca="false">$B$4</f>
        <v>1073.64324602428</v>
      </c>
      <c r="C343" s="1" t="n">
        <f aca="false">D342*$B$2/12</f>
        <v>117.996088761417</v>
      </c>
      <c r="D343" s="1" t="n">
        <f aca="false">D342+C343-B343</f>
        <v>27363.4141454773</v>
      </c>
    </row>
    <row r="344" customFormat="false" ht="15" hidden="false" customHeight="false" outlineLevel="0" collapsed="false">
      <c r="A344" s="0" t="n">
        <v>334</v>
      </c>
      <c r="B344" s="1" t="n">
        <f aca="false">$B$4</f>
        <v>1073.64324602428</v>
      </c>
      <c r="C344" s="1" t="n">
        <f aca="false">D343*$B$2/12</f>
        <v>114.014225606156</v>
      </c>
      <c r="D344" s="1" t="n">
        <f aca="false">D343+C344-B344</f>
        <v>26403.7851250592</v>
      </c>
    </row>
    <row r="345" customFormat="false" ht="15" hidden="false" customHeight="false" outlineLevel="0" collapsed="false">
      <c r="A345" s="0" t="n">
        <v>335</v>
      </c>
      <c r="B345" s="1" t="n">
        <f aca="false">$B$4</f>
        <v>1073.64324602428</v>
      </c>
      <c r="C345" s="1" t="n">
        <f aca="false">D344*$B$2/12</f>
        <v>110.015771354413</v>
      </c>
      <c r="D345" s="1" t="n">
        <f aca="false">D344+C345-B345</f>
        <v>25440.1576503893</v>
      </c>
    </row>
    <row r="346" customFormat="false" ht="15" hidden="false" customHeight="false" outlineLevel="0" collapsed="false">
      <c r="A346" s="0" t="n">
        <v>336</v>
      </c>
      <c r="B346" s="1" t="n">
        <f aca="false">$B$4</f>
        <v>1073.64324602428</v>
      </c>
      <c r="C346" s="1" t="n">
        <f aca="false">D345*$B$2/12</f>
        <v>106.000656876622</v>
      </c>
      <c r="D346" s="1" t="n">
        <f aca="false">D345+C346-B346</f>
        <v>24472.5150612417</v>
      </c>
    </row>
    <row r="347" customFormat="false" ht="15" hidden="false" customHeight="false" outlineLevel="0" collapsed="false">
      <c r="A347" s="0" t="n">
        <v>337</v>
      </c>
      <c r="B347" s="1" t="n">
        <f aca="false">$B$4</f>
        <v>1073.64324602428</v>
      </c>
      <c r="C347" s="1" t="n">
        <f aca="false">D346*$B$2/12</f>
        <v>101.968812755174</v>
      </c>
      <c r="D347" s="1" t="n">
        <f aca="false">D346+C347-B347</f>
        <v>23500.8406279726</v>
      </c>
    </row>
    <row r="348" customFormat="false" ht="15" hidden="false" customHeight="false" outlineLevel="0" collapsed="false">
      <c r="A348" s="0" t="n">
        <v>338</v>
      </c>
      <c r="B348" s="1" t="n">
        <f aca="false">$B$4</f>
        <v>1073.64324602428</v>
      </c>
      <c r="C348" s="1" t="n">
        <f aca="false">D347*$B$2/12</f>
        <v>97.920169283219</v>
      </c>
      <c r="D348" s="1" t="n">
        <f aca="false">D347+C348-B348</f>
        <v>22525.1175512315</v>
      </c>
    </row>
    <row r="349" customFormat="false" ht="15" hidden="false" customHeight="false" outlineLevel="0" collapsed="false">
      <c r="A349" s="0" t="n">
        <v>339</v>
      </c>
      <c r="B349" s="1" t="n">
        <f aca="false">$B$4</f>
        <v>1073.64324602428</v>
      </c>
      <c r="C349" s="1" t="n">
        <f aca="false">D348*$B$2/12</f>
        <v>93.8546564634646</v>
      </c>
      <c r="D349" s="1" t="n">
        <f aca="false">D348+C349-B349</f>
        <v>21545.3289616707</v>
      </c>
    </row>
    <row r="350" customFormat="false" ht="15" hidden="false" customHeight="false" outlineLevel="0" collapsed="false">
      <c r="A350" s="0" t="n">
        <v>340</v>
      </c>
      <c r="B350" s="1" t="n">
        <f aca="false">$B$4</f>
        <v>1073.64324602428</v>
      </c>
      <c r="C350" s="1" t="n">
        <f aca="false">D349*$B$2/12</f>
        <v>89.7722040069612</v>
      </c>
      <c r="D350" s="1" t="n">
        <f aca="false">D349+C350-B350</f>
        <v>20561.4579196534</v>
      </c>
    </row>
    <row r="351" customFormat="false" ht="15" hidden="false" customHeight="false" outlineLevel="0" collapsed="false">
      <c r="A351" s="0" t="n">
        <v>341</v>
      </c>
      <c r="B351" s="1" t="n">
        <f aca="false">$B$4</f>
        <v>1073.64324602428</v>
      </c>
      <c r="C351" s="1" t="n">
        <f aca="false">D350*$B$2/12</f>
        <v>85.672741331889</v>
      </c>
      <c r="D351" s="1" t="n">
        <f aca="false">D350+C351-B351</f>
        <v>19573.487414961</v>
      </c>
    </row>
    <row r="352" customFormat="false" ht="15" hidden="false" customHeight="false" outlineLevel="0" collapsed="false">
      <c r="A352" s="0" t="n">
        <v>342</v>
      </c>
      <c r="B352" s="1" t="n">
        <f aca="false">$B$4</f>
        <v>1073.64324602428</v>
      </c>
      <c r="C352" s="1" t="n">
        <f aca="false">D351*$B$2/12</f>
        <v>81.5561975623374</v>
      </c>
      <c r="D352" s="1" t="n">
        <f aca="false">D351+C352-B352</f>
        <v>18581.400366499</v>
      </c>
    </row>
    <row r="353" customFormat="false" ht="15" hidden="false" customHeight="false" outlineLevel="0" collapsed="false">
      <c r="A353" s="0" t="n">
        <v>343</v>
      </c>
      <c r="B353" s="1" t="n">
        <f aca="false">$B$4</f>
        <v>1073.64324602428</v>
      </c>
      <c r="C353" s="1" t="n">
        <f aca="false">D352*$B$2/12</f>
        <v>77.4225015270793</v>
      </c>
      <c r="D353" s="1" t="n">
        <f aca="false">D352+C353-B353</f>
        <v>17585.1796220018</v>
      </c>
    </row>
    <row r="354" customFormat="false" ht="15" hidden="false" customHeight="false" outlineLevel="0" collapsed="false">
      <c r="A354" s="0" t="n">
        <v>344</v>
      </c>
      <c r="B354" s="1" t="n">
        <f aca="false">$B$4</f>
        <v>1073.64324602428</v>
      </c>
      <c r="C354" s="1" t="n">
        <f aca="false">D353*$B$2/12</f>
        <v>73.271581758341</v>
      </c>
      <c r="D354" s="1" t="n">
        <f aca="false">D353+C354-B354</f>
        <v>16584.8079577359</v>
      </c>
    </row>
    <row r="355" customFormat="false" ht="15" hidden="false" customHeight="false" outlineLevel="0" collapsed="false">
      <c r="A355" s="0" t="n">
        <v>345</v>
      </c>
      <c r="B355" s="1" t="n">
        <f aca="false">$B$4</f>
        <v>1073.64324602428</v>
      </c>
      <c r="C355" s="1" t="n">
        <f aca="false">D354*$B$2/12</f>
        <v>69.1033664905662</v>
      </c>
      <c r="D355" s="1" t="n">
        <f aca="false">D354+C355-B355</f>
        <v>15580.2680782022</v>
      </c>
    </row>
    <row r="356" customFormat="false" ht="15" hidden="false" customHeight="false" outlineLevel="0" collapsed="false">
      <c r="A356" s="0" t="n">
        <v>346</v>
      </c>
      <c r="B356" s="1" t="n">
        <f aca="false">$B$4</f>
        <v>1073.64324602428</v>
      </c>
      <c r="C356" s="1" t="n">
        <f aca="false">D355*$B$2/12</f>
        <v>64.9177836591758</v>
      </c>
      <c r="D356" s="1" t="n">
        <f aca="false">D355+C356-B356</f>
        <v>14571.5426158371</v>
      </c>
    </row>
    <row r="357" customFormat="false" ht="15" hidden="false" customHeight="false" outlineLevel="0" collapsed="false">
      <c r="A357" s="0" t="n">
        <v>347</v>
      </c>
      <c r="B357" s="1" t="n">
        <f aca="false">$B$4</f>
        <v>1073.64324602428</v>
      </c>
      <c r="C357" s="1" t="n">
        <f aca="false">D356*$B$2/12</f>
        <v>60.7147608993212</v>
      </c>
      <c r="D357" s="1" t="n">
        <f aca="false">D356+C357-B357</f>
        <v>13558.6141307121</v>
      </c>
    </row>
    <row r="358" customFormat="false" ht="15" hidden="false" customHeight="false" outlineLevel="0" collapsed="false">
      <c r="A358" s="0" t="n">
        <v>348</v>
      </c>
      <c r="B358" s="1" t="n">
        <f aca="false">$B$4</f>
        <v>1073.64324602428</v>
      </c>
      <c r="C358" s="1" t="n">
        <f aca="false">D357*$B$2/12</f>
        <v>56.4942255446339</v>
      </c>
      <c r="D358" s="1" t="n">
        <f aca="false">D357+C358-B358</f>
        <v>12541.4651102325</v>
      </c>
    </row>
    <row r="359" customFormat="false" ht="15" hidden="false" customHeight="false" outlineLevel="0" collapsed="false">
      <c r="A359" s="0" t="n">
        <v>349</v>
      </c>
      <c r="B359" s="1" t="n">
        <f aca="false">$B$4</f>
        <v>1073.64324602428</v>
      </c>
      <c r="C359" s="1" t="n">
        <f aca="false">D358*$B$2/12</f>
        <v>52.2561046259687</v>
      </c>
      <c r="D359" s="1" t="n">
        <f aca="false">D358+C359-B359</f>
        <v>11520.0779688342</v>
      </c>
    </row>
    <row r="360" customFormat="false" ht="15" hidden="false" customHeight="false" outlineLevel="0" collapsed="false">
      <c r="A360" s="0" t="n">
        <v>350</v>
      </c>
      <c r="B360" s="1" t="n">
        <f aca="false">$B$4</f>
        <v>1073.64324602428</v>
      </c>
      <c r="C360" s="1" t="n">
        <f aca="false">D359*$B$2/12</f>
        <v>48.0003248701424</v>
      </c>
      <c r="D360" s="1" t="n">
        <f aca="false">D359+C360-B360</f>
        <v>10494.43504768</v>
      </c>
    </row>
    <row r="361" customFormat="false" ht="15" hidden="false" customHeight="false" outlineLevel="0" collapsed="false">
      <c r="A361" s="0" t="n">
        <v>351</v>
      </c>
      <c r="B361" s="1" t="n">
        <f aca="false">$B$4</f>
        <v>1073.64324602428</v>
      </c>
      <c r="C361" s="1" t="n">
        <f aca="false">D360*$B$2/12</f>
        <v>43.7268126986668</v>
      </c>
      <c r="D361" s="1" t="n">
        <f aca="false">D360+C361-B361</f>
        <v>9464.51861435443</v>
      </c>
    </row>
    <row r="362" customFormat="false" ht="15" hidden="false" customHeight="false" outlineLevel="0" collapsed="false">
      <c r="A362" s="0" t="n">
        <v>352</v>
      </c>
      <c r="B362" s="1" t="n">
        <f aca="false">$B$4</f>
        <v>1073.64324602428</v>
      </c>
      <c r="C362" s="1" t="n">
        <f aca="false">D361*$B$2/12</f>
        <v>39.4354942264768</v>
      </c>
      <c r="D362" s="1" t="n">
        <f aca="false">D361+C362-B362</f>
        <v>8430.31086255663</v>
      </c>
    </row>
    <row r="363" customFormat="false" ht="15" hidden="false" customHeight="false" outlineLevel="0" collapsed="false">
      <c r="A363" s="0" t="n">
        <v>353</v>
      </c>
      <c r="B363" s="1" t="n">
        <f aca="false">$B$4</f>
        <v>1073.64324602428</v>
      </c>
      <c r="C363" s="1" t="n">
        <f aca="false">D362*$B$2/12</f>
        <v>35.1262952606526</v>
      </c>
      <c r="D363" s="1" t="n">
        <f aca="false">D362+C363-B363</f>
        <v>7391.793911793</v>
      </c>
    </row>
    <row r="364" customFormat="false" ht="15" hidden="false" customHeight="false" outlineLevel="0" collapsed="false">
      <c r="A364" s="0" t="n">
        <v>354</v>
      </c>
      <c r="B364" s="1" t="n">
        <f aca="false">$B$4</f>
        <v>1073.64324602428</v>
      </c>
      <c r="C364" s="1" t="n">
        <f aca="false">D363*$B$2/12</f>
        <v>30.7991412991375</v>
      </c>
      <c r="D364" s="1" t="n">
        <f aca="false">D363+C364-B364</f>
        <v>6348.94980706786</v>
      </c>
    </row>
    <row r="365" customFormat="false" ht="15" hidden="false" customHeight="false" outlineLevel="0" collapsed="false">
      <c r="A365" s="0" t="n">
        <v>355</v>
      </c>
      <c r="B365" s="1" t="n">
        <f aca="false">$B$4</f>
        <v>1073.64324602428</v>
      </c>
      <c r="C365" s="1" t="n">
        <f aca="false">D364*$B$2/12</f>
        <v>26.4539575294494</v>
      </c>
      <c r="D365" s="1" t="n">
        <f aca="false">D364+C365-B365</f>
        <v>5301.76051857304</v>
      </c>
    </row>
    <row r="366" customFormat="false" ht="15" hidden="false" customHeight="false" outlineLevel="0" collapsed="false">
      <c r="A366" s="0" t="n">
        <v>356</v>
      </c>
      <c r="B366" s="1" t="n">
        <f aca="false">$B$4</f>
        <v>1073.64324602428</v>
      </c>
      <c r="C366" s="1" t="n">
        <f aca="false">D365*$B$2/12</f>
        <v>22.0906688273877</v>
      </c>
      <c r="D366" s="1" t="n">
        <f aca="false">D365+C366-B366</f>
        <v>4250.20794137615</v>
      </c>
    </row>
    <row r="367" customFormat="false" ht="15" hidden="false" customHeight="false" outlineLevel="0" collapsed="false">
      <c r="A367" s="0" t="n">
        <v>357</v>
      </c>
      <c r="B367" s="1" t="n">
        <f aca="false">$B$4</f>
        <v>1073.64324602428</v>
      </c>
      <c r="C367" s="1" t="n">
        <f aca="false">D366*$B$2/12</f>
        <v>17.7091997557339</v>
      </c>
      <c r="D367" s="1" t="n">
        <f aca="false">D366+C367-B367</f>
        <v>3194.2738951076</v>
      </c>
    </row>
    <row r="368" customFormat="false" ht="15" hidden="false" customHeight="false" outlineLevel="0" collapsed="false">
      <c r="A368" s="0" t="n">
        <v>358</v>
      </c>
      <c r="B368" s="1" t="n">
        <f aca="false">$B$4</f>
        <v>1073.64324602428</v>
      </c>
      <c r="C368" s="1" t="n">
        <f aca="false">D367*$B$2/12</f>
        <v>13.3094745629483</v>
      </c>
      <c r="D368" s="1" t="n">
        <f aca="false">D367+C368-B368</f>
        <v>2133.94012364627</v>
      </c>
    </row>
    <row r="369" customFormat="false" ht="15" hidden="false" customHeight="false" outlineLevel="0" collapsed="false">
      <c r="A369" s="0" t="n">
        <v>359</v>
      </c>
      <c r="B369" s="1" t="n">
        <f aca="false">$B$4</f>
        <v>1073.64324602428</v>
      </c>
      <c r="C369" s="1" t="n">
        <f aca="false">D368*$B$2/12</f>
        <v>8.89141718185947</v>
      </c>
      <c r="D369" s="1" t="n">
        <f aca="false">D368+C369-B369</f>
        <v>1069.18829480385</v>
      </c>
    </row>
    <row r="370" customFormat="false" ht="15" hidden="false" customHeight="false" outlineLevel="0" collapsed="false">
      <c r="A370" s="0" t="n">
        <v>360</v>
      </c>
      <c r="B370" s="1" t="n">
        <f aca="false">$B$4</f>
        <v>1073.64324602428</v>
      </c>
      <c r="C370" s="1" t="n">
        <f aca="false">D369*$B$2/12</f>
        <v>4.45495122834939</v>
      </c>
      <c r="D370" s="1" t="n">
        <f aca="false">D369+C370-B370</f>
        <v>7.92397258919664E-009</v>
      </c>
    </row>
    <row r="372" customFormat="false" ht="15" hidden="false" customHeight="false" outlineLevel="0" collapsed="false">
      <c r="A372" s="0" t="s">
        <v>12</v>
      </c>
      <c r="B372" s="1" t="n">
        <f aca="false">SUM(B11:B370)*0+LEN(A1)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  <c r="D1" s="0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1</v>
      </c>
      <c r="D3" s="0" t="s">
        <v>20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20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6</v>
      </c>
      <c r="D5" s="0" t="s">
        <v>20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</v>
      </c>
      <c r="D6" s="0" t="s">
        <v>30</v>
      </c>
    </row>
    <row r="7" customFormat="false" ht="15" hidden="false" customHeight="false" outlineLevel="0" collapsed="false">
      <c r="A7" s="0" t="s">
        <v>31</v>
      </c>
      <c r="B7" s="0" t="s">
        <v>32</v>
      </c>
      <c r="C7" s="0" t="s">
        <v>5</v>
      </c>
      <c r="D7" s="0" t="s">
        <v>30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7</v>
      </c>
      <c r="D8" s="0" t="s">
        <v>30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37</v>
      </c>
      <c r="D9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2026-10-26T22:27:11Z</dcterms:created>
  <dc:creator>openpyxl</dc:creator>
  <dc:description/>
  <dc:language>en-US</dc:language>
  <cp:lastModifiedBy/>
  <dcterms:modified xsi:type="dcterms:W3CDTF">2026-10-26T22:27:11Z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